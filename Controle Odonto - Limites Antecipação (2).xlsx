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hummanamais.sharepoint.com/sites/MedSimples/Shared Documents/Controle Odonto/"/>
    </mc:Choice>
  </mc:AlternateContent>
  <xr:revisionPtr revIDLastSave="23" documentId="13_ncr:1_{D1AD4A1D-C357-43F3-AA4C-0AFB70D785B8}" xr6:coauthVersionLast="47" xr6:coauthVersionMax="47" xr10:uidLastSave="{E42D7E6F-E3FC-4950-BD36-BC32D6900632}"/>
  <bookViews>
    <workbookView xWindow="28680" yWindow="-120" windowWidth="20730" windowHeight="11040" xr2:uid="{A14ABC0B-D9A1-4C6E-B79C-E6308772000F}"/>
  </bookViews>
  <sheets>
    <sheet name="results" sheetId="2" r:id="rId1"/>
    <sheet name="Controle Odonto Limites" sheetId="1" r:id="rId2"/>
    <sheet name="BD" sheetId="3" r:id="rId3"/>
  </sheets>
  <definedNames>
    <definedName name="_xlnm._FilterDatabase" localSheetId="1" hidden="1">'Controle Odonto Limites'!$B$2:$I$82</definedName>
    <definedName name="DadosExternos_1" localSheetId="0" hidden="1">'results'!$A$1:$H$1061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3" i="1"/>
  <c r="E3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3" i="1"/>
  <c r="H74" i="1" l="1"/>
  <c r="I74" i="1" s="1"/>
  <c r="H62" i="1"/>
  <c r="I62" i="1" s="1"/>
  <c r="H50" i="1"/>
  <c r="I50" i="1" s="1"/>
  <c r="H18" i="1"/>
  <c r="I18" i="1" s="1"/>
  <c r="H6" i="1"/>
  <c r="I6" i="1" s="1"/>
  <c r="H51" i="1"/>
  <c r="I51" i="1" s="1"/>
  <c r="H75" i="1"/>
  <c r="I75" i="1" s="1"/>
  <c r="H73" i="1"/>
  <c r="I73" i="1" s="1"/>
  <c r="H42" i="1"/>
  <c r="I42" i="1" s="1"/>
  <c r="H30" i="1"/>
  <c r="I30" i="1" s="1"/>
  <c r="H79" i="1"/>
  <c r="I79" i="1" s="1"/>
  <c r="H67" i="1"/>
  <c r="I67" i="1" s="1"/>
  <c r="H55" i="1"/>
  <c r="I55" i="1" s="1"/>
  <c r="H43" i="1"/>
  <c r="I43" i="1" s="1"/>
  <c r="H31" i="1"/>
  <c r="I31" i="1" s="1"/>
  <c r="H19" i="1"/>
  <c r="I19" i="1" s="1"/>
  <c r="H7" i="1"/>
  <c r="I7" i="1" s="1"/>
  <c r="H78" i="1"/>
  <c r="I78" i="1" s="1"/>
  <c r="H66" i="1"/>
  <c r="I66" i="1" s="1"/>
  <c r="H54" i="1"/>
  <c r="I54" i="1" s="1"/>
  <c r="H17" i="1"/>
  <c r="I17" i="1" s="1"/>
  <c r="H5" i="1"/>
  <c r="I5" i="1" s="1"/>
  <c r="H60" i="1"/>
  <c r="I60" i="1" s="1"/>
  <c r="H48" i="1"/>
  <c r="I48" i="1" s="1"/>
  <c r="H12" i="1"/>
  <c r="I12" i="1" s="1"/>
  <c r="H72" i="1"/>
  <c r="I72" i="1" s="1"/>
  <c r="H36" i="1"/>
  <c r="I36" i="1" s="1"/>
  <c r="H24" i="1"/>
  <c r="I24" i="1" s="1"/>
  <c r="H47" i="1"/>
  <c r="I47" i="1" s="1"/>
  <c r="H82" i="1"/>
  <c r="I82" i="1" s="1"/>
  <c r="H46" i="1"/>
  <c r="I46" i="1" s="1"/>
  <c r="H81" i="1"/>
  <c r="I81" i="1" s="1"/>
  <c r="H33" i="1"/>
  <c r="I33" i="1" s="1"/>
  <c r="H21" i="1"/>
  <c r="I21" i="1" s="1"/>
  <c r="H9" i="1"/>
  <c r="I9" i="1" s="1"/>
  <c r="H77" i="1"/>
  <c r="I77" i="1" s="1"/>
  <c r="H65" i="1"/>
  <c r="I65" i="1" s="1"/>
  <c r="H53" i="1"/>
  <c r="I53" i="1" s="1"/>
  <c r="H41" i="1"/>
  <c r="I41" i="1" s="1"/>
  <c r="H29" i="1"/>
  <c r="I29" i="1" s="1"/>
  <c r="H35" i="1"/>
  <c r="I35" i="1" s="1"/>
  <c r="H34" i="1"/>
  <c r="I34" i="1" s="1"/>
  <c r="H57" i="1"/>
  <c r="I57" i="1" s="1"/>
  <c r="H80" i="1"/>
  <c r="I80" i="1" s="1"/>
  <c r="H68" i="1"/>
  <c r="I68" i="1" s="1"/>
  <c r="H56" i="1"/>
  <c r="I56" i="1" s="1"/>
  <c r="H44" i="1"/>
  <c r="I44" i="1" s="1"/>
  <c r="H32" i="1"/>
  <c r="I32" i="1" s="1"/>
  <c r="H20" i="1"/>
  <c r="I20" i="1" s="1"/>
  <c r="H8" i="1"/>
  <c r="I8" i="1" s="1"/>
  <c r="H76" i="1"/>
  <c r="I76" i="1" s="1"/>
  <c r="H64" i="1"/>
  <c r="I64" i="1" s="1"/>
  <c r="H52" i="1"/>
  <c r="I52" i="1" s="1"/>
  <c r="H40" i="1"/>
  <c r="I40" i="1" s="1"/>
  <c r="H28" i="1"/>
  <c r="I28" i="1" s="1"/>
  <c r="H16" i="1"/>
  <c r="I16" i="1" s="1"/>
  <c r="H4" i="1"/>
  <c r="I4" i="1" s="1"/>
  <c r="H71" i="1"/>
  <c r="I71" i="1" s="1"/>
  <c r="H23" i="1"/>
  <c r="I23" i="1" s="1"/>
  <c r="H58" i="1"/>
  <c r="I58" i="1" s="1"/>
  <c r="H10" i="1"/>
  <c r="I10" i="1" s="1"/>
  <c r="H45" i="1"/>
  <c r="I45" i="1" s="1"/>
  <c r="H63" i="1"/>
  <c r="I63" i="1" s="1"/>
  <c r="H39" i="1"/>
  <c r="I39" i="1" s="1"/>
  <c r="H27" i="1"/>
  <c r="I27" i="1" s="1"/>
  <c r="H15" i="1"/>
  <c r="I15" i="1" s="1"/>
  <c r="H3" i="1"/>
  <c r="I3" i="1" s="1"/>
  <c r="H11" i="1"/>
  <c r="I11" i="1" s="1"/>
  <c r="H70" i="1"/>
  <c r="I70" i="1" s="1"/>
  <c r="H22" i="1"/>
  <c r="I22" i="1" s="1"/>
  <c r="H69" i="1"/>
  <c r="I69" i="1" s="1"/>
  <c r="H38" i="1"/>
  <c r="I38" i="1" s="1"/>
  <c r="H26" i="1"/>
  <c r="I26" i="1" s="1"/>
  <c r="H14" i="1"/>
  <c r="I14" i="1" s="1"/>
  <c r="H61" i="1"/>
  <c r="I61" i="1" s="1"/>
  <c r="H49" i="1"/>
  <c r="I49" i="1" s="1"/>
  <c r="H37" i="1"/>
  <c r="I37" i="1" s="1"/>
  <c r="H25" i="1"/>
  <c r="I25" i="1" s="1"/>
  <c r="H13" i="1"/>
  <c r="I13" i="1" s="1"/>
  <c r="H59" i="1"/>
  <c r="I5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8C8A5F-D137-4D67-922B-8235EF823F55}" keepAlive="1" name="Consulta - results" description="Conexão com a consulta 'results' na pasta de trabalho." type="5" refreshedVersion="7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<sst xmlns="http://schemas.openxmlformats.org/spreadsheetml/2006/main" count="3443" uniqueCount="214">
  <si>
    <t>CNPJ</t>
  </si>
  <si>
    <t>Nome Empresa</t>
  </si>
  <si>
    <t>Name</t>
  </si>
  <si>
    <t>Data Antecipação</t>
  </si>
  <si>
    <t>MoneyDetails_Net</t>
  </si>
  <si>
    <t>MoneyDetails_Fee</t>
  </si>
  <si>
    <t>MoneyDetails_ToBePaid</t>
  </si>
  <si>
    <t>Data Reembolso</t>
  </si>
  <si>
    <t>31.963.755/0001-15</t>
  </si>
  <si>
    <t>ANDRATE ODONTOLOGIA</t>
  </si>
  <si>
    <t>Daiane Renata da Silva Barbosa Andrade</t>
  </si>
  <si>
    <t>24.103.026/0002-04</t>
  </si>
  <si>
    <t>Croe Odontologia - Garavelo</t>
  </si>
  <si>
    <t>Dr Fernando Basilio</t>
  </si>
  <si>
    <t>47.315.622/0001-72</t>
  </si>
  <si>
    <t>Luciana Figueiredo</t>
  </si>
  <si>
    <t>Dra Luciana Aurélia Figueiredo de Albuquerque</t>
  </si>
  <si>
    <t>33.082.455/0001-52</t>
  </si>
  <si>
    <t>Odontonova Bocaiuva</t>
  </si>
  <si>
    <t>Gabriela Lopes Leite de Souza</t>
  </si>
  <si>
    <t>14.953.013/0001-90</t>
  </si>
  <si>
    <t>Clinica Clige</t>
  </si>
  <si>
    <t>Geraldo Andre Rocha Menezes</t>
  </si>
  <si>
    <t>06.154.401/0001-82</t>
  </si>
  <si>
    <t>ODONTOLOGIA VERTHO</t>
  </si>
  <si>
    <t>Gustavo Jose de Oliveira Sales da Cruz</t>
  </si>
  <si>
    <t>46.745.918/0001-60</t>
  </si>
  <si>
    <t>Nucleo Jaraguá (Bucco)</t>
  </si>
  <si>
    <t>Kallyu Manoel de Souza</t>
  </si>
  <si>
    <t>23.479.424/0001-86</t>
  </si>
  <si>
    <t>RIGOLETO CLINICA INTEGRADA</t>
  </si>
  <si>
    <t>Karina Rigoleto</t>
  </si>
  <si>
    <t>34.410.948/0001-37</t>
  </si>
  <si>
    <t>CPX Odonto</t>
  </si>
  <si>
    <t>Karla Schotz Trancoso Lucas</t>
  </si>
  <si>
    <t>54.441.432/0001-67</t>
  </si>
  <si>
    <t>SB PRIME - ASA SUL</t>
  </si>
  <si>
    <t>Lianio Santos Herculano</t>
  </si>
  <si>
    <t>54.063.681/0001-66</t>
  </si>
  <si>
    <t>Croe Odontologia  - Nova Era</t>
  </si>
  <si>
    <t>Luis Alberto Basilio</t>
  </si>
  <si>
    <t>62.272.980/0001-39</t>
  </si>
  <si>
    <t>Clínica Odontológica Meu Sorri</t>
  </si>
  <si>
    <t xml:space="preserve">Luis Gustavo Casarim </t>
  </si>
  <si>
    <t>18.276.317/0001-10</t>
  </si>
  <si>
    <t xml:space="preserve">Orthomais - Remanso </t>
  </si>
  <si>
    <t>Luiz Eulálio Ribeiro Barbosa</t>
  </si>
  <si>
    <t>30.498.974/0001-08</t>
  </si>
  <si>
    <t>CEOF</t>
  </si>
  <si>
    <t>Marco Aurélio Barbosa</t>
  </si>
  <si>
    <t>40.108.492/0001-58</t>
  </si>
  <si>
    <t>Lumina Odonto e Estética</t>
  </si>
  <si>
    <t>Marcos Falcão Maciel</t>
  </si>
  <si>
    <t>24.427.331/0001-70</t>
  </si>
  <si>
    <t>Cardoso Odontologia Integrada</t>
  </si>
  <si>
    <t>Riviane Ferreira Cardoso</t>
  </si>
  <si>
    <t>Id Clinica</t>
  </si>
  <si>
    <t>limite_sugerido</t>
  </si>
  <si>
    <t>Aux Limite II</t>
  </si>
  <si>
    <t>Antecipado</t>
  </si>
  <si>
    <t>Reembolsado</t>
  </si>
  <si>
    <t>Saldo Antecipavel</t>
  </si>
  <si>
    <t>% Antecipável</t>
  </si>
  <si>
    <t>12.430.532/0001-48</t>
  </si>
  <si>
    <t>13.203.418/0002-29</t>
  </si>
  <si>
    <t>17.018.594/0001-60</t>
  </si>
  <si>
    <t>45.328.758/0001-91</t>
  </si>
  <si>
    <t>10.896.917/0001-70</t>
  </si>
  <si>
    <t>55.044.504/0001-03</t>
  </si>
  <si>
    <t>30.453.043/0001-93</t>
  </si>
  <si>
    <t>50.632.839/0001-10</t>
  </si>
  <si>
    <t>49.548.468/0001-04</t>
  </si>
  <si>
    <t>45.837.091/0001-52</t>
  </si>
  <si>
    <t>30.342.254/0001-59</t>
  </si>
  <si>
    <t>28.482.083/0001-11</t>
  </si>
  <si>
    <t>56.987.473/0001-89</t>
  </si>
  <si>
    <t>07.659.066/0001-37</t>
  </si>
  <si>
    <t>57.276.590/0001-05</t>
  </si>
  <si>
    <t>55.377.828/0001-55</t>
  </si>
  <si>
    <t>42.971.169/0001-39</t>
  </si>
  <si>
    <t>57.522.079/0001-38</t>
  </si>
  <si>
    <t>24.462.671/0001-32</t>
  </si>
  <si>
    <t>28.751.780/0001-20</t>
  </si>
  <si>
    <t>49.794.899/0001-50</t>
  </si>
  <si>
    <t>37.370.221/0001-61</t>
  </si>
  <si>
    <t>28.867.400/0001-18</t>
  </si>
  <si>
    <t>32.098.938/0001-82</t>
  </si>
  <si>
    <t>59.892.846/0001-26</t>
  </si>
  <si>
    <t>35.491.770/0001-69</t>
  </si>
  <si>
    <t>30.553.826/0001-49</t>
  </si>
  <si>
    <t>55.433.482/0001-65</t>
  </si>
  <si>
    <t>43.896.549/0001-19</t>
  </si>
  <si>
    <t>29.262.404/0001-35</t>
  </si>
  <si>
    <t>58.638.688/0001-10</t>
  </si>
  <si>
    <t>47.156.231/0001-52</t>
  </si>
  <si>
    <t>60.233.884/0001-56</t>
  </si>
  <si>
    <t>35.878.665/0001-87</t>
  </si>
  <si>
    <t>08.354.727/0001-89</t>
  </si>
  <si>
    <t>13.612.736/0001-62</t>
  </si>
  <si>
    <t>23.623.775/0001-19</t>
  </si>
  <si>
    <t>36.740.048/0001-83</t>
  </si>
  <si>
    <t>40.631.675/0001-53</t>
  </si>
  <si>
    <t>57.974.260/0001-85</t>
  </si>
  <si>
    <t>18.198.904/0001-39</t>
  </si>
  <si>
    <t>49.760.179/0001-74</t>
  </si>
  <si>
    <t>45.700.984/0001-51</t>
  </si>
  <si>
    <t>28.708.262/0001-24</t>
  </si>
  <si>
    <t>49.837.196/0001-62</t>
  </si>
  <si>
    <t>36.446.418/0001-74</t>
  </si>
  <si>
    <t>31.162.222/0001-34</t>
  </si>
  <si>
    <t>17.709.161/0001-51</t>
  </si>
  <si>
    <t>22.826.037/0001-06</t>
  </si>
  <si>
    <t>34.457.167/0001-06</t>
  </si>
  <si>
    <t>27.754.920/0001-51</t>
  </si>
  <si>
    <t>22.227.357/0001-40</t>
  </si>
  <si>
    <t>10.862.833/0001-15</t>
  </si>
  <si>
    <t>34.815.245/0001-99</t>
  </si>
  <si>
    <t>21.698.113/0001-82</t>
  </si>
  <si>
    <t>26.272.747/0001-92</t>
  </si>
  <si>
    <t>43.040.510/0001-03</t>
  </si>
  <si>
    <t>28.473.599/0001-08</t>
  </si>
  <si>
    <t>34.442.978/0001-25</t>
  </si>
  <si>
    <t>45.767.009/0001-60</t>
  </si>
  <si>
    <t>55.870.535/0001-05</t>
  </si>
  <si>
    <t>32.014.548/0001-87</t>
  </si>
  <si>
    <t>43.625.280/0001-36</t>
  </si>
  <si>
    <t>43.867.079/0001-65</t>
  </si>
  <si>
    <t>cnpj</t>
  </si>
  <si>
    <t>clinica_id</t>
  </si>
  <si>
    <t>nome</t>
  </si>
  <si>
    <t xml:space="preserve"> valor_emitido_nov_25 </t>
  </si>
  <si>
    <t>inadimplencia_real_nov_25</t>
  </si>
  <si>
    <t xml:space="preserve"> limite_sugerido </t>
  </si>
  <si>
    <t xml:space="preserve"> valor_emitido_acumulado_clinica </t>
  </si>
  <si>
    <t>b6f880b6-5040-46ec-a748-fc5a2b5b5acd</t>
  </si>
  <si>
    <t>0e8a0207-f780-4707-92cd-4644e53f5f9b</t>
  </si>
  <si>
    <t>73c60e7b-bb2b-4164-a4ed-11f067d9f9b2</t>
  </si>
  <si>
    <t>213f0c18-4441-4b77-898b-26b0abc84625</t>
  </si>
  <si>
    <t>d27032f2-fa36-4a94-a5eb-00d0365a215f</t>
  </si>
  <si>
    <t>0abab0e4-d065-4d29-a2f5-975e683953ca</t>
  </si>
  <si>
    <t>9a26c29c-8393-4d46-9530-ecafa1049b4a</t>
  </si>
  <si>
    <t>a517d732-343d-4c33-85ce-a29b76c5ecde</t>
  </si>
  <si>
    <t>6b5eb0ea-4749-487d-b0de-9cf71b269ab2</t>
  </si>
  <si>
    <t>bbdab157-7e2a-495c-951e-8d72ee1b94ec</t>
  </si>
  <si>
    <t>a12fa008-cffb-4540-ab34-36fd4bfffa52</t>
  </si>
  <si>
    <t>074ceaba-ce41-44ee-a864-f5727f175cae</t>
  </si>
  <si>
    <t>f0e12b39-da82-4da4-b1e3-8a6aeff01123</t>
  </si>
  <si>
    <t>0bfa5b69-7a99-4508-809b-3c3745be4932</t>
  </si>
  <si>
    <t>4bb79367-3b17-4d95-9cfe-c16262ed26a3</t>
  </si>
  <si>
    <t>9b6352f7-3055-4474-b51e-c1c996dc2061</t>
  </si>
  <si>
    <t>08677755-f129-4a5d-a301-cdd89939229d</t>
  </si>
  <si>
    <t>ff4e9ed8-7025-4e0a-8fdd-0730ace86515</t>
  </si>
  <si>
    <t>c87386ab-aec1-447c-9d0f-4c1bd98256c8</t>
  </si>
  <si>
    <t>0df8dd85-4eaf-4b19-abda-ffa5618fbf57</t>
  </si>
  <si>
    <t>540a223b-71cb-409c-beaf-c8060f0d3e94</t>
  </si>
  <si>
    <t>1c9328c8-05f9-4d40-a096-2eeec724e435</t>
  </si>
  <si>
    <t>23b5058c-1bae-429b-81ab-53d1c8016c4b</t>
  </si>
  <si>
    <t>50605d82-1973-4c13-821a-04c3f2a29de3</t>
  </si>
  <si>
    <t>f97a605c-c15a-4ee5-b1b8-81f312c9a13a</t>
  </si>
  <si>
    <t>a9328649-762b-4ae5-8a16-2df5e6606784</t>
  </si>
  <si>
    <t>5609f780-e9db-4600-a2dc-af379420cad5</t>
  </si>
  <si>
    <t>68077c81-7f0d-4e91-89af-dddd1e1fa0d5</t>
  </si>
  <si>
    <t>7b0b7a6b-9cfe-4dcf-ac07-1bcb53398446</t>
  </si>
  <si>
    <t>5c7349fc-fa11-47e0-9af9-68c4a0ae81a0</t>
  </si>
  <si>
    <t>739a50e8-a684-4967-82da-b0ba48ac69cd</t>
  </si>
  <si>
    <t>9a0a522a-dd81-43ad-99ab-77c267b87014</t>
  </si>
  <si>
    <t>1186869e-009a-4988-b224-85371839e195</t>
  </si>
  <si>
    <t>35036959-8e71-4f65-a702-bc5f51c1d256</t>
  </si>
  <si>
    <t>55dccf5c-8867-4759-909c-86a804586f43</t>
  </si>
  <si>
    <t>9a8f265c-10bb-4e50-99e9-56ce3dc9265a</t>
  </si>
  <si>
    <t>6cd4ac1f-129f-4fa1-9959-f23fac990091</t>
  </si>
  <si>
    <t>3e0f0300-9ed8-41a3-adf9-48eeb37f56d9</t>
  </si>
  <si>
    <t>d9e5affb-9a19-468c-97a8-429f868a9149</t>
  </si>
  <si>
    <t>3d386297-a428-4068-8d45-adb098a6cdc2</t>
  </si>
  <si>
    <t>cea6c4ac-9456-4a59-83b1-8f962a274380</t>
  </si>
  <si>
    <t>dfb120eb-dd73-4442-ab27-6aab97e3264c</t>
  </si>
  <si>
    <t>304b769a-8eda-4ef4-afa1-ded9d91dee2f</t>
  </si>
  <si>
    <t>e0382b9f-618f-438d-a229-dd3a2dcc22a2</t>
  </si>
  <si>
    <t>6defc275-1d97-4048-887c-16407a0474d2</t>
  </si>
  <si>
    <t>20ff9b9e-edb9-4081-ad2d-d1be83f80dee</t>
  </si>
  <si>
    <t>1b01561f-015c-4faa-a10a-1a67253a5933</t>
  </si>
  <si>
    <t>17e40240-f243-42be-b4b1-f506e971037e</t>
  </si>
  <si>
    <t>abf277ff-3a68-4b95-b3af-3a214dd7ffeb</t>
  </si>
  <si>
    <t>571edd34-4ba4-46e5-827a-12312d4778cb</t>
  </si>
  <si>
    <t>6efc5ad9-0a9f-49f6-b9d7-23ef5d32e697</t>
  </si>
  <si>
    <t>cfb70e9f-1628-468d-94d7-a0182b58fccc</t>
  </si>
  <si>
    <t>019c5481-7329-40ab-bde5-ec729d5cacda</t>
  </si>
  <si>
    <t>c57131da-03a2-4f79-bc2c-430772ff66d5</t>
  </si>
  <si>
    <t>a5bff9c3-9502-414b-a5a6-680297f7ad5a</t>
  </si>
  <si>
    <t>8dbe6289-c9db-4b4c-a81d-930c069642a1</t>
  </si>
  <si>
    <t>52e7126b-2540-40ea-83e5-0d831bb89c20</t>
  </si>
  <si>
    <t>3d880703-85c5-4b8a-8a04-63f9f1d1a6d7</t>
  </si>
  <si>
    <t>564071af-34fe-4c47-af45-a67445417e5f</t>
  </si>
  <si>
    <t>f3f6f21f-0115-41e7-97e3-843b1c3aed23</t>
  </si>
  <si>
    <t>7af2c29c-29f1-4c16-b0ef-81e9852659b9</t>
  </si>
  <si>
    <t>6c0a0870-9dd1-4168-bf53-8898f0fa6133</t>
  </si>
  <si>
    <t>821eebae-40c9-4012-b148-9d9d309e72ad</t>
  </si>
  <si>
    <t>bb7518be-5dd7-4c6a-ac95-bea72b0f3ca9</t>
  </si>
  <si>
    <t>04999dad-a4fe-4116-aa22-aa7001e79548</t>
  </si>
  <si>
    <t>c2670c7e-2758-4a3a-ae7b-58bd4b9df88f</t>
  </si>
  <si>
    <t>f1877df7-6b30-475c-a7cb-c3fd3ea852c7</t>
  </si>
  <si>
    <t>8435a7f3-edcb-4374-a48b-ce26601b393b</t>
  </si>
  <si>
    <t>2b243108-5a13-45b1-8c23-a5a3c6cf90bc</t>
  </si>
  <si>
    <t>d243309c-440b-476c-8fef-3e3bc830280b</t>
  </si>
  <si>
    <t>4cc9e1d3-c76a-4258-97d8-dc8ecb557af1</t>
  </si>
  <si>
    <t>53a77613-eff9-4e61-a404-7a6f72559416</t>
  </si>
  <si>
    <t>4c337759-71e8-404f-bf65-82d0186ea46d</t>
  </si>
  <si>
    <t>9288cbb4-558e-4c90-8a7d-942f6d45309c</t>
  </si>
  <si>
    <t>6f283cf8-b529-46a7-82c5-99d66b438625</t>
  </si>
  <si>
    <t>a695e1b6-28e3-4762-997a-2446bf1a0144</t>
  </si>
  <si>
    <t>bb0d038f-efe0-45be-980d-71d9e41dc42e</t>
  </si>
  <si>
    <t>7ca6d7ed-d4e1-495c-8431-e671ed52ff40</t>
  </si>
  <si>
    <t>201999af-770b-4950-bdc3-10b711548db9</t>
  </si>
  <si>
    <t>c51ac300-9e33-480b-8eab-34f96b5af1ff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</si>
</sst>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4" fontId="0" fillId="0" borderId="0" xfId="0" applyNumberFormat="1"/>
    <xf numFmtId="164" fontId="1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0" fontId="16" fillId="0" borderId="10" xfId="0" applyFont="1" applyBorder="1" applyAlignment="1">
      <alignment horizontal="center"/>
    </xf>
    <xf numFmtId="165" fontId="16" fillId="0" borderId="10" xfId="1" applyNumberFormat="1" applyFont="1" applyBorder="1" applyAlignment="1">
      <alignment horizontal="center"/>
    </xf>
    <xf numFmtId="0" fontId="18" fillId="0" borderId="0" xfId="0" applyFont="1"/>
    <xf numFmtId="11" fontId="18" fillId="0" borderId="0" xfId="0" applyNumberFormat="1" applyFont="1"/>
    <xf numFmtId="43" fontId="0" fillId="0" borderId="0" xfId="1" applyNumberFormat="1" applyFont="1"/>
    <xf numFmtId="4" fontId="18" fillId="0" borderId="0" xfId="0" applyNumberFormat="1" applyFont="1"/>
    <xf numFmtId="10" fontId="18" fillId="0" borderId="0" xfId="0" applyNumberFormat="1" applyFont="1"/>
    <xf numFmtId="165" fontId="1" fillId="0" borderId="0" xfId="1" applyNumberFormat="1" applyFont="1" applyAlignment="1">
      <alignment horizontal="right"/>
    </xf>
    <xf numFmtId="43" fontId="16" fillId="0" borderId="10" xfId="1" applyNumberFormat="1" applyFont="1" applyBorder="1" applyAlignment="1">
      <alignment horizontal="center"/>
    </xf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1" builtinId="3"/>
  </cellStyles>
  <dxfs count="5">
    <dxf>
      <numFmt numFmtId="166" formatCode="dd/mm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4449265-EAD7-4E09-901E-18C77DF4603E}" autoFormatId="16" applyNumberFormats="0" applyBorderFormats="0" applyFontFormats="0" applyPatternFormats="0" applyAlignmentFormats="0" applyWidthHeightFormats="0">
  <queryTableRefresh nextId="9">
    <queryTableFields count="8">
      <queryTableField id="1" name="CNPJ" tableColumnId="1"/>
      <queryTableField id="2" name="Nome Empresa" tableColumnId="2"/>
      <queryTableField id="3" name="Name" tableColumnId="3"/>
      <queryTableField id="4" name="Data Antecipação" tableColumnId="4"/>
      <queryTableField id="5" name="MoneyDetails_Net" tableColumnId="5"/>
      <queryTableField id="6" name="MoneyDetails_Fee" tableColumnId="6"/>
      <queryTableField id="7" name="MoneyDetails_ToBePaid" tableColumnId="7"/>
      <queryTableField id="8" name="Data Reembols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E51D2-0DF8-4B67-A2FF-CD277153B120}" name="results" displayName="results" ref="A1:H1061" tableType="queryTable" totalsRowShown="0">
  <autoFilter ref="A1:H1061" xr:uid="{724E51D2-0DF8-4B67-A2FF-CD277153B1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1061">
    <sortCondition ref="C1:C1061"/>
  </sortState>
  <tableColumns count="8">
    <tableColumn id="1" xr3:uid="{3857B168-956A-4B55-BC01-437FBEAFE985}" uniqueName="1" name="CNPJ" queryTableFieldId="1" dataDxfId="4"/>
    <tableColumn id="2" xr3:uid="{21450AB2-0B23-47A9-917D-F60D1CC762EC}" uniqueName="2" name="Nome Empresa" queryTableFieldId="2" dataDxfId="3"/>
    <tableColumn id="3" xr3:uid="{143388A7-CE72-4B7F-A77F-D1B101B1937C}" uniqueName="3" name="Name" queryTableFieldId="3" dataDxfId="2"/>
    <tableColumn id="4" xr3:uid="{08FE58A0-D499-402B-84AC-A59FA2A634DA}" uniqueName="4" name="Data Antecipação" queryTableFieldId="4" dataDxfId="1"/>
    <tableColumn id="5" xr3:uid="{686B721F-7EC9-4A18-B256-8DBD6E639687}" uniqueName="5" name="MoneyDetails_Net" queryTableFieldId="5"/>
    <tableColumn id="6" xr3:uid="{23784815-298F-4106-836C-97C491A1A16D}" uniqueName="6" name="MoneyDetails_Fee" queryTableFieldId="6"/>
    <tableColumn id="7" xr3:uid="{50A75774-9554-481F-867C-5893AA95EF72}" uniqueName="7" name="MoneyDetails_ToBePaid" queryTableFieldId="7"/>
    <tableColumn id="8" xr3:uid="{AA483FB2-A8F2-483E-B908-A6786236AF3E}" uniqueName="8" name="Data Reembols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369F-4C35-4FB8-821A-0E0DD62CAEAC}">
  <dimension ref="A1:H1061"/>
  <sheetViews>
    <sheetView tabSelected="1" topLeftCell="A178" workbookViewId="0">
      <selection activeCell="C302" sqref="C302"/>
    </sheetView>
  </sheetViews>
  <sheetFormatPr defaultRowHeight="13.9"/>
  <cols>
    <col min="1" max="1" width="19.140625" bestFit="1" customWidth="1"/>
    <col min="2" max="2" width="29.140625" bestFit="1" customWidth="1"/>
    <col min="3" max="3" width="39.7109375" bestFit="1" customWidth="1"/>
    <col min="4" max="4" width="18.140625" bestFit="1" customWidth="1"/>
    <col min="5" max="5" width="19.140625" bestFit="1" customWidth="1"/>
    <col min="6" max="6" width="19.42578125" bestFit="1" customWidth="1"/>
    <col min="7" max="7" width="25" bestFit="1" customWidth="1"/>
    <col min="8" max="8" width="17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4">
        <v>46010</v>
      </c>
      <c r="E2">
        <v>586.1</v>
      </c>
      <c r="F2">
        <v>77.95</v>
      </c>
      <c r="G2">
        <v>508.15</v>
      </c>
      <c r="H2" s="4"/>
    </row>
    <row r="3" spans="1:8">
      <c r="A3" t="s">
        <v>8</v>
      </c>
      <c r="B3" t="s">
        <v>9</v>
      </c>
      <c r="C3" t="s">
        <v>10</v>
      </c>
      <c r="D3" s="4">
        <v>46010</v>
      </c>
      <c r="E3">
        <v>3784.1</v>
      </c>
      <c r="F3">
        <v>596</v>
      </c>
      <c r="G3">
        <v>3188.1</v>
      </c>
      <c r="H3" s="4"/>
    </row>
    <row r="4" spans="1:8">
      <c r="A4" t="s">
        <v>8</v>
      </c>
      <c r="B4" t="s">
        <v>9</v>
      </c>
      <c r="C4" t="s">
        <v>10</v>
      </c>
      <c r="D4" s="4">
        <v>46010</v>
      </c>
      <c r="E4">
        <v>298.10000000000002</v>
      </c>
      <c r="F4">
        <v>40</v>
      </c>
      <c r="G4">
        <v>258.10000000000002</v>
      </c>
      <c r="H4" s="4"/>
    </row>
    <row r="5" spans="1:8">
      <c r="A5" t="s">
        <v>8</v>
      </c>
      <c r="B5" t="s">
        <v>9</v>
      </c>
      <c r="C5" t="s">
        <v>10</v>
      </c>
      <c r="D5" s="4">
        <v>46010</v>
      </c>
      <c r="E5">
        <v>340.1</v>
      </c>
      <c r="F5">
        <v>40</v>
      </c>
      <c r="G5">
        <v>300.10000000000002</v>
      </c>
      <c r="H5" s="4"/>
    </row>
    <row r="6" spans="1:8">
      <c r="A6" t="s">
        <v>8</v>
      </c>
      <c r="B6" t="s">
        <v>9</v>
      </c>
      <c r="C6" t="s">
        <v>10</v>
      </c>
      <c r="D6" s="4">
        <v>46010</v>
      </c>
      <c r="E6">
        <v>298.19</v>
      </c>
      <c r="F6">
        <v>40</v>
      </c>
      <c r="G6">
        <v>258.19</v>
      </c>
      <c r="H6" s="4"/>
    </row>
    <row r="7" spans="1:8">
      <c r="A7" t="s">
        <v>8</v>
      </c>
      <c r="B7" t="s">
        <v>9</v>
      </c>
      <c r="C7" t="s">
        <v>10</v>
      </c>
      <c r="D7" s="4">
        <v>46010</v>
      </c>
      <c r="E7">
        <v>298.10000000000002</v>
      </c>
      <c r="F7">
        <v>40</v>
      </c>
      <c r="G7">
        <v>258.10000000000002</v>
      </c>
      <c r="H7" s="4"/>
    </row>
    <row r="8" spans="1:8">
      <c r="A8" t="s">
        <v>8</v>
      </c>
      <c r="B8" t="s">
        <v>9</v>
      </c>
      <c r="C8" t="s">
        <v>10</v>
      </c>
      <c r="D8" s="4">
        <v>46010</v>
      </c>
      <c r="E8">
        <v>271.43</v>
      </c>
      <c r="F8">
        <v>40</v>
      </c>
      <c r="G8">
        <v>231.43</v>
      </c>
      <c r="H8" s="4"/>
    </row>
    <row r="9" spans="1:8">
      <c r="A9" t="s">
        <v>8</v>
      </c>
      <c r="B9" t="s">
        <v>9</v>
      </c>
      <c r="C9" t="s">
        <v>10</v>
      </c>
      <c r="D9" s="4">
        <v>46010</v>
      </c>
      <c r="E9">
        <v>2596.1</v>
      </c>
      <c r="F9">
        <v>408.89</v>
      </c>
      <c r="G9">
        <v>2187.21</v>
      </c>
      <c r="H9" s="4"/>
    </row>
    <row r="10" spans="1:8">
      <c r="A10" t="s">
        <v>8</v>
      </c>
      <c r="B10" t="s">
        <v>9</v>
      </c>
      <c r="C10" t="s">
        <v>10</v>
      </c>
      <c r="D10" s="4">
        <v>46010</v>
      </c>
      <c r="E10">
        <v>317.64</v>
      </c>
      <c r="F10">
        <v>42.25</v>
      </c>
      <c r="G10">
        <v>275.39</v>
      </c>
      <c r="H10" s="4"/>
    </row>
    <row r="11" spans="1:8">
      <c r="A11" t="s">
        <v>8</v>
      </c>
      <c r="B11" t="s">
        <v>9</v>
      </c>
      <c r="C11" t="s">
        <v>10</v>
      </c>
      <c r="D11" s="4">
        <v>46010</v>
      </c>
      <c r="E11">
        <v>612.25</v>
      </c>
      <c r="F11">
        <v>68.569999999999993</v>
      </c>
      <c r="G11">
        <v>543.67999999999995</v>
      </c>
      <c r="H11" s="4"/>
    </row>
    <row r="12" spans="1:8">
      <c r="A12" t="s">
        <v>8</v>
      </c>
      <c r="B12" t="s">
        <v>9</v>
      </c>
      <c r="C12" t="s">
        <v>10</v>
      </c>
      <c r="D12" s="4">
        <v>46010</v>
      </c>
      <c r="E12">
        <v>358.66</v>
      </c>
      <c r="F12">
        <v>47.7</v>
      </c>
      <c r="G12">
        <v>310.95999999999998</v>
      </c>
      <c r="H12" s="4"/>
    </row>
    <row r="13" spans="1:8">
      <c r="A13" t="s">
        <v>8</v>
      </c>
      <c r="B13" t="s">
        <v>9</v>
      </c>
      <c r="C13" t="s">
        <v>10</v>
      </c>
      <c r="D13" s="4">
        <v>46010</v>
      </c>
      <c r="E13">
        <v>943.1</v>
      </c>
      <c r="F13">
        <v>174.95</v>
      </c>
      <c r="G13">
        <v>768.15</v>
      </c>
      <c r="H13" s="4"/>
    </row>
    <row r="14" spans="1:8">
      <c r="A14" t="s">
        <v>8</v>
      </c>
      <c r="B14" t="s">
        <v>9</v>
      </c>
      <c r="C14" t="s">
        <v>10</v>
      </c>
      <c r="D14" s="4">
        <v>46010</v>
      </c>
      <c r="E14">
        <v>212.1</v>
      </c>
      <c r="F14">
        <v>40</v>
      </c>
      <c r="G14">
        <v>172.1</v>
      </c>
      <c r="H14" s="4"/>
    </row>
    <row r="15" spans="1:8">
      <c r="A15" t="s">
        <v>8</v>
      </c>
      <c r="B15" t="s">
        <v>9</v>
      </c>
      <c r="C15" t="s">
        <v>10</v>
      </c>
      <c r="D15" s="4">
        <v>46010</v>
      </c>
      <c r="E15">
        <v>555.42999999999995</v>
      </c>
      <c r="F15">
        <v>73.87</v>
      </c>
      <c r="G15">
        <v>481.56</v>
      </c>
      <c r="H15" s="4"/>
    </row>
    <row r="16" spans="1:8">
      <c r="A16" t="s">
        <v>8</v>
      </c>
      <c r="B16" t="s">
        <v>9</v>
      </c>
      <c r="C16" t="s">
        <v>10</v>
      </c>
      <c r="D16" s="4">
        <v>46010</v>
      </c>
      <c r="E16">
        <v>498.1</v>
      </c>
      <c r="F16">
        <v>83.68</v>
      </c>
      <c r="G16">
        <v>414.42</v>
      </c>
      <c r="H16" s="4"/>
    </row>
    <row r="17" spans="1:8">
      <c r="A17" t="s">
        <v>8</v>
      </c>
      <c r="B17" t="s">
        <v>9</v>
      </c>
      <c r="C17" t="s">
        <v>10</v>
      </c>
      <c r="D17" s="4">
        <v>46010</v>
      </c>
      <c r="E17">
        <v>267.23</v>
      </c>
      <c r="F17">
        <v>40</v>
      </c>
      <c r="G17">
        <v>227.23</v>
      </c>
      <c r="H17" s="4"/>
    </row>
    <row r="18" spans="1:8">
      <c r="A18" t="s">
        <v>8</v>
      </c>
      <c r="B18" t="s">
        <v>9</v>
      </c>
      <c r="C18" t="s">
        <v>10</v>
      </c>
      <c r="D18" s="4">
        <v>46010</v>
      </c>
      <c r="E18">
        <v>471.1</v>
      </c>
      <c r="F18">
        <v>52.76</v>
      </c>
      <c r="G18">
        <v>418.34</v>
      </c>
      <c r="H18" s="4"/>
    </row>
    <row r="19" spans="1:8">
      <c r="A19" t="s">
        <v>8</v>
      </c>
      <c r="B19" t="s">
        <v>9</v>
      </c>
      <c r="C19" t="s">
        <v>10</v>
      </c>
      <c r="D19" s="4">
        <v>46010</v>
      </c>
      <c r="E19">
        <v>355.9</v>
      </c>
      <c r="F19">
        <v>40</v>
      </c>
      <c r="G19">
        <v>315.89999999999998</v>
      </c>
      <c r="H19" s="4"/>
    </row>
    <row r="20" spans="1:8">
      <c r="A20" t="s">
        <v>8</v>
      </c>
      <c r="B20" t="s">
        <v>9</v>
      </c>
      <c r="C20" t="s">
        <v>10</v>
      </c>
      <c r="D20" s="4">
        <v>46010</v>
      </c>
      <c r="E20">
        <v>263.10000000000002</v>
      </c>
      <c r="F20">
        <v>40</v>
      </c>
      <c r="G20">
        <v>223.1</v>
      </c>
      <c r="H20" s="4"/>
    </row>
    <row r="21" spans="1:8">
      <c r="A21" t="s">
        <v>8</v>
      </c>
      <c r="B21" t="s">
        <v>9</v>
      </c>
      <c r="C21" t="s">
        <v>10</v>
      </c>
      <c r="D21" s="4">
        <v>46010</v>
      </c>
      <c r="E21">
        <v>352.1</v>
      </c>
      <c r="F21">
        <v>46.83</v>
      </c>
      <c r="G21">
        <v>305.27</v>
      </c>
      <c r="H21" s="4"/>
    </row>
    <row r="22" spans="1:8">
      <c r="A22" t="s">
        <v>8</v>
      </c>
      <c r="B22" t="s">
        <v>9</v>
      </c>
      <c r="C22" t="s">
        <v>10</v>
      </c>
      <c r="D22" s="4">
        <v>46010</v>
      </c>
      <c r="E22">
        <v>323.66000000000003</v>
      </c>
      <c r="F22">
        <v>43.05</v>
      </c>
      <c r="G22">
        <v>280.61</v>
      </c>
      <c r="H22" s="4"/>
    </row>
    <row r="23" spans="1:8">
      <c r="A23" t="s">
        <v>8</v>
      </c>
      <c r="B23" t="s">
        <v>9</v>
      </c>
      <c r="C23" t="s">
        <v>10</v>
      </c>
      <c r="D23" s="4">
        <v>46010</v>
      </c>
      <c r="E23">
        <v>396.02</v>
      </c>
      <c r="F23">
        <v>52.67</v>
      </c>
      <c r="G23">
        <v>343.35</v>
      </c>
      <c r="H23" s="4"/>
    </row>
    <row r="24" spans="1:8">
      <c r="A24" t="s">
        <v>8</v>
      </c>
      <c r="B24" t="s">
        <v>9</v>
      </c>
      <c r="C24" t="s">
        <v>10</v>
      </c>
      <c r="D24" s="4">
        <v>46010</v>
      </c>
      <c r="E24">
        <v>386.1</v>
      </c>
      <c r="F24">
        <v>45.95</v>
      </c>
      <c r="G24">
        <v>340.15</v>
      </c>
      <c r="H24" s="4"/>
    </row>
    <row r="25" spans="1:8">
      <c r="A25" t="s">
        <v>8</v>
      </c>
      <c r="B25" t="s">
        <v>9</v>
      </c>
      <c r="C25" t="s">
        <v>10</v>
      </c>
      <c r="D25" s="4">
        <v>46010</v>
      </c>
      <c r="E25">
        <v>345.1</v>
      </c>
      <c r="F25">
        <v>45.9</v>
      </c>
      <c r="G25">
        <v>299.2</v>
      </c>
      <c r="H25" s="4"/>
    </row>
    <row r="26" spans="1:8">
      <c r="A26" t="s">
        <v>11</v>
      </c>
      <c r="B26" t="s">
        <v>12</v>
      </c>
      <c r="C26" t="s">
        <v>13</v>
      </c>
      <c r="D26" s="4">
        <v>46013</v>
      </c>
      <c r="E26">
        <v>228.1</v>
      </c>
      <c r="F26">
        <v>42.31</v>
      </c>
      <c r="G26">
        <v>185.79</v>
      </c>
      <c r="H26" s="4"/>
    </row>
    <row r="27" spans="1:8">
      <c r="A27" t="s">
        <v>11</v>
      </c>
      <c r="B27" t="s">
        <v>12</v>
      </c>
      <c r="C27" t="s">
        <v>13</v>
      </c>
      <c r="D27" s="4">
        <v>46013</v>
      </c>
      <c r="E27">
        <v>998.1</v>
      </c>
      <c r="F27">
        <v>335.36</v>
      </c>
      <c r="G27">
        <v>662.74</v>
      </c>
      <c r="H27" s="4"/>
    </row>
    <row r="28" spans="1:8">
      <c r="A28" t="s">
        <v>11</v>
      </c>
      <c r="B28" t="s">
        <v>12</v>
      </c>
      <c r="C28" t="s">
        <v>13</v>
      </c>
      <c r="D28" s="4">
        <v>46013</v>
      </c>
      <c r="E28">
        <v>598.1</v>
      </c>
      <c r="F28">
        <v>226.08</v>
      </c>
      <c r="G28">
        <v>372.02</v>
      </c>
      <c r="H28" s="4"/>
    </row>
    <row r="29" spans="1:8">
      <c r="A29" t="s">
        <v>11</v>
      </c>
      <c r="B29" t="s">
        <v>12</v>
      </c>
      <c r="C29" t="s">
        <v>13</v>
      </c>
      <c r="D29" s="4">
        <v>46013</v>
      </c>
      <c r="E29">
        <v>498.1</v>
      </c>
      <c r="F29">
        <v>92.4</v>
      </c>
      <c r="G29">
        <v>405.7</v>
      </c>
      <c r="H29" s="4"/>
    </row>
    <row r="30" spans="1:8">
      <c r="A30" t="s">
        <v>11</v>
      </c>
      <c r="B30" t="s">
        <v>12</v>
      </c>
      <c r="C30" t="s">
        <v>13</v>
      </c>
      <c r="D30" s="4">
        <v>46013</v>
      </c>
      <c r="E30">
        <v>598.1</v>
      </c>
      <c r="F30">
        <v>161.19</v>
      </c>
      <c r="G30">
        <v>436.91</v>
      </c>
      <c r="H30" s="4"/>
    </row>
    <row r="31" spans="1:8">
      <c r="A31" t="s">
        <v>11</v>
      </c>
      <c r="B31" t="s">
        <v>12</v>
      </c>
      <c r="C31" t="s">
        <v>13</v>
      </c>
      <c r="D31" s="4">
        <v>46013</v>
      </c>
      <c r="E31">
        <v>498.1</v>
      </c>
      <c r="F31">
        <v>237.1</v>
      </c>
      <c r="G31">
        <v>261</v>
      </c>
      <c r="H31" s="4"/>
    </row>
    <row r="32" spans="1:8">
      <c r="A32" t="s">
        <v>11</v>
      </c>
      <c r="B32" t="s">
        <v>12</v>
      </c>
      <c r="C32" t="s">
        <v>13</v>
      </c>
      <c r="D32" s="4">
        <v>46013</v>
      </c>
      <c r="E32">
        <v>326.68</v>
      </c>
      <c r="F32">
        <v>131.49</v>
      </c>
      <c r="G32">
        <v>195.19</v>
      </c>
      <c r="H32" s="4"/>
    </row>
    <row r="33" spans="1:8">
      <c r="A33" t="s">
        <v>11</v>
      </c>
      <c r="B33" t="s">
        <v>12</v>
      </c>
      <c r="C33" t="s">
        <v>13</v>
      </c>
      <c r="D33" s="4">
        <v>46013</v>
      </c>
      <c r="E33">
        <v>358.1</v>
      </c>
      <c r="F33">
        <v>140.38</v>
      </c>
      <c r="G33">
        <v>217.72</v>
      </c>
      <c r="H33" s="4"/>
    </row>
    <row r="34" spans="1:8">
      <c r="A34" t="s">
        <v>11</v>
      </c>
      <c r="B34" t="s">
        <v>12</v>
      </c>
      <c r="C34" t="s">
        <v>13</v>
      </c>
      <c r="D34" s="4">
        <v>46013</v>
      </c>
      <c r="E34">
        <v>498.1</v>
      </c>
      <c r="F34">
        <v>92.4</v>
      </c>
      <c r="G34">
        <v>405.7</v>
      </c>
      <c r="H34" s="4"/>
    </row>
    <row r="35" spans="1:8">
      <c r="A35" t="s">
        <v>11</v>
      </c>
      <c r="B35" t="s">
        <v>12</v>
      </c>
      <c r="C35" t="s">
        <v>13</v>
      </c>
      <c r="D35" s="4">
        <v>46013</v>
      </c>
      <c r="E35">
        <v>588.1</v>
      </c>
      <c r="F35">
        <v>166.73</v>
      </c>
      <c r="G35">
        <v>421.37</v>
      </c>
      <c r="H35" s="4"/>
    </row>
    <row r="36" spans="1:8">
      <c r="A36" t="s">
        <v>11</v>
      </c>
      <c r="B36" t="s">
        <v>12</v>
      </c>
      <c r="C36" t="s">
        <v>13</v>
      </c>
      <c r="D36" s="4">
        <v>46013</v>
      </c>
      <c r="E36">
        <v>998.1</v>
      </c>
      <c r="F36">
        <v>335.36</v>
      </c>
      <c r="G36">
        <v>662.74</v>
      </c>
      <c r="H36" s="4"/>
    </row>
    <row r="37" spans="1:8">
      <c r="A37" t="s">
        <v>11</v>
      </c>
      <c r="B37" t="s">
        <v>12</v>
      </c>
      <c r="C37" t="s">
        <v>13</v>
      </c>
      <c r="D37" s="4">
        <v>46013</v>
      </c>
      <c r="E37">
        <v>185.6</v>
      </c>
      <c r="F37">
        <v>47.42</v>
      </c>
      <c r="G37">
        <v>138.18</v>
      </c>
      <c r="H37" s="4"/>
    </row>
    <row r="38" spans="1:8">
      <c r="A38" t="s">
        <v>11</v>
      </c>
      <c r="B38" t="s">
        <v>12</v>
      </c>
      <c r="C38" t="s">
        <v>13</v>
      </c>
      <c r="D38" s="4">
        <v>46013</v>
      </c>
      <c r="E38">
        <v>498.1</v>
      </c>
      <c r="F38">
        <v>181.31</v>
      </c>
      <c r="G38">
        <v>316.79000000000002</v>
      </c>
      <c r="H38" s="4"/>
    </row>
    <row r="39" spans="1:8">
      <c r="A39" t="s">
        <v>11</v>
      </c>
      <c r="B39" t="s">
        <v>12</v>
      </c>
      <c r="C39" t="s">
        <v>13</v>
      </c>
      <c r="D39" s="4">
        <v>46013</v>
      </c>
      <c r="E39">
        <v>498.1</v>
      </c>
      <c r="F39">
        <v>78.45</v>
      </c>
      <c r="G39">
        <v>419.65</v>
      </c>
      <c r="H39" s="4"/>
    </row>
    <row r="40" spans="1:8">
      <c r="A40" t="s">
        <v>11</v>
      </c>
      <c r="B40" t="s">
        <v>12</v>
      </c>
      <c r="C40" t="s">
        <v>13</v>
      </c>
      <c r="D40" s="4">
        <v>46013</v>
      </c>
      <c r="E40">
        <v>148.1</v>
      </c>
      <c r="F40">
        <v>72.05</v>
      </c>
      <c r="G40">
        <v>76.05</v>
      </c>
      <c r="H40" s="4"/>
    </row>
    <row r="41" spans="1:8">
      <c r="A41" t="s">
        <v>11</v>
      </c>
      <c r="B41" t="s">
        <v>12</v>
      </c>
      <c r="C41" t="s">
        <v>13</v>
      </c>
      <c r="D41" s="4">
        <v>46013</v>
      </c>
      <c r="E41">
        <v>998.1</v>
      </c>
      <c r="F41">
        <v>282.95999999999998</v>
      </c>
      <c r="G41">
        <v>715.14</v>
      </c>
      <c r="H41" s="4"/>
    </row>
    <row r="42" spans="1:8">
      <c r="A42" t="s">
        <v>11</v>
      </c>
      <c r="B42" t="s">
        <v>12</v>
      </c>
      <c r="C42" t="s">
        <v>13</v>
      </c>
      <c r="D42" s="4">
        <v>46013</v>
      </c>
      <c r="E42">
        <v>268.10000000000002</v>
      </c>
      <c r="F42">
        <v>68.5</v>
      </c>
      <c r="G42">
        <v>199.6</v>
      </c>
      <c r="H42" s="4"/>
    </row>
    <row r="43" spans="1:8">
      <c r="A43" t="s">
        <v>11</v>
      </c>
      <c r="B43" t="s">
        <v>12</v>
      </c>
      <c r="C43" t="s">
        <v>13</v>
      </c>
      <c r="D43" s="4">
        <v>46013</v>
      </c>
      <c r="E43">
        <v>1098.0999999999999</v>
      </c>
      <c r="F43">
        <v>199.85</v>
      </c>
      <c r="G43">
        <v>898.25</v>
      </c>
      <c r="H43" s="4"/>
    </row>
    <row r="44" spans="1:8">
      <c r="A44" t="s">
        <v>11</v>
      </c>
      <c r="B44" t="s">
        <v>12</v>
      </c>
      <c r="C44" t="s">
        <v>13</v>
      </c>
      <c r="D44" s="4">
        <v>46013</v>
      </c>
      <c r="E44">
        <v>358.1</v>
      </c>
      <c r="F44">
        <v>66.430000000000007</v>
      </c>
      <c r="G44">
        <v>291.67</v>
      </c>
      <c r="H44" s="4"/>
    </row>
    <row r="45" spans="1:8">
      <c r="A45" t="s">
        <v>11</v>
      </c>
      <c r="B45" t="s">
        <v>12</v>
      </c>
      <c r="C45" t="s">
        <v>13</v>
      </c>
      <c r="D45" s="4">
        <v>46013</v>
      </c>
      <c r="E45">
        <v>326.67</v>
      </c>
      <c r="F45">
        <v>64.03</v>
      </c>
      <c r="G45">
        <v>262.64</v>
      </c>
      <c r="H45" s="4"/>
    </row>
    <row r="46" spans="1:8">
      <c r="A46" t="s">
        <v>11</v>
      </c>
      <c r="B46" t="s">
        <v>12</v>
      </c>
      <c r="C46" t="s">
        <v>13</v>
      </c>
      <c r="D46" s="4">
        <v>46013</v>
      </c>
      <c r="E46">
        <v>268.10000000000002</v>
      </c>
      <c r="F46">
        <v>95.71</v>
      </c>
      <c r="G46">
        <v>172.39</v>
      </c>
      <c r="H46" s="4"/>
    </row>
    <row r="47" spans="1:8">
      <c r="A47" t="s">
        <v>11</v>
      </c>
      <c r="B47" t="s">
        <v>12</v>
      </c>
      <c r="C47" t="s">
        <v>13</v>
      </c>
      <c r="D47" s="4">
        <v>46013</v>
      </c>
      <c r="E47">
        <v>185.6</v>
      </c>
      <c r="F47">
        <v>85.75</v>
      </c>
      <c r="G47">
        <v>99.85</v>
      </c>
      <c r="H47" s="4"/>
    </row>
    <row r="48" spans="1:8">
      <c r="A48" t="s">
        <v>11</v>
      </c>
      <c r="B48" t="s">
        <v>12</v>
      </c>
      <c r="C48" t="s">
        <v>13</v>
      </c>
      <c r="D48" s="4">
        <v>46013</v>
      </c>
      <c r="E48">
        <v>173.1</v>
      </c>
      <c r="F48">
        <v>52.71</v>
      </c>
      <c r="G48">
        <v>120.39</v>
      </c>
      <c r="H48" s="4"/>
    </row>
    <row r="49" spans="1:8">
      <c r="A49" t="s">
        <v>11</v>
      </c>
      <c r="B49" t="s">
        <v>12</v>
      </c>
      <c r="C49" t="s">
        <v>13</v>
      </c>
      <c r="D49" s="4">
        <v>46013</v>
      </c>
      <c r="E49">
        <v>588.1</v>
      </c>
      <c r="F49">
        <v>230.54</v>
      </c>
      <c r="G49">
        <v>357.56</v>
      </c>
      <c r="H49" s="4"/>
    </row>
    <row r="50" spans="1:8">
      <c r="A50" t="s">
        <v>11</v>
      </c>
      <c r="B50" t="s">
        <v>12</v>
      </c>
      <c r="C50" t="s">
        <v>13</v>
      </c>
      <c r="D50" s="4">
        <v>46013</v>
      </c>
      <c r="E50">
        <v>498.1</v>
      </c>
      <c r="F50">
        <v>249.3</v>
      </c>
      <c r="G50">
        <v>248.8</v>
      </c>
      <c r="H50" s="4"/>
    </row>
    <row r="51" spans="1:8">
      <c r="A51" t="s">
        <v>11</v>
      </c>
      <c r="B51" t="s">
        <v>12</v>
      </c>
      <c r="C51" t="s">
        <v>13</v>
      </c>
      <c r="D51" s="4">
        <v>46013</v>
      </c>
      <c r="E51">
        <v>498.1</v>
      </c>
      <c r="F51">
        <v>195.26</v>
      </c>
      <c r="G51">
        <v>302.83999999999997</v>
      </c>
      <c r="H51" s="4"/>
    </row>
    <row r="52" spans="1:8">
      <c r="A52" t="s">
        <v>11</v>
      </c>
      <c r="B52" t="s">
        <v>12</v>
      </c>
      <c r="C52" t="s">
        <v>13</v>
      </c>
      <c r="D52" s="4">
        <v>46013</v>
      </c>
      <c r="E52">
        <v>148.1</v>
      </c>
      <c r="F52">
        <v>56.5</v>
      </c>
      <c r="G52">
        <v>91.6</v>
      </c>
      <c r="H52" s="4"/>
    </row>
    <row r="53" spans="1:8">
      <c r="A53" t="s">
        <v>11</v>
      </c>
      <c r="B53" t="s">
        <v>12</v>
      </c>
      <c r="C53" t="s">
        <v>13</v>
      </c>
      <c r="D53" s="4">
        <v>46013</v>
      </c>
      <c r="E53">
        <v>185.6</v>
      </c>
      <c r="F53">
        <v>65.61</v>
      </c>
      <c r="G53">
        <v>119.99</v>
      </c>
      <c r="H53" s="4"/>
    </row>
    <row r="54" spans="1:8">
      <c r="A54" t="s">
        <v>11</v>
      </c>
      <c r="B54" t="s">
        <v>12</v>
      </c>
      <c r="C54" t="s">
        <v>13</v>
      </c>
      <c r="D54" s="4">
        <v>46013</v>
      </c>
      <c r="E54">
        <v>498.1</v>
      </c>
      <c r="F54">
        <v>92.4</v>
      </c>
      <c r="G54">
        <v>405.7</v>
      </c>
      <c r="H54" s="4"/>
    </row>
    <row r="55" spans="1:8">
      <c r="A55" t="s">
        <v>11</v>
      </c>
      <c r="B55" t="s">
        <v>12</v>
      </c>
      <c r="C55" t="s">
        <v>13</v>
      </c>
      <c r="D55" s="4">
        <v>46013</v>
      </c>
      <c r="E55">
        <v>148.1</v>
      </c>
      <c r="F55">
        <v>40</v>
      </c>
      <c r="G55">
        <v>108.1</v>
      </c>
      <c r="H55" s="4"/>
    </row>
    <row r="56" spans="1:8">
      <c r="A56" t="s">
        <v>11</v>
      </c>
      <c r="B56" t="s">
        <v>12</v>
      </c>
      <c r="C56" t="s">
        <v>13</v>
      </c>
      <c r="D56" s="4">
        <v>46013</v>
      </c>
      <c r="E56">
        <v>228.1</v>
      </c>
      <c r="F56">
        <v>64.67</v>
      </c>
      <c r="G56">
        <v>163.43</v>
      </c>
      <c r="H56" s="4"/>
    </row>
    <row r="57" spans="1:8">
      <c r="A57" t="s">
        <v>11</v>
      </c>
      <c r="B57" t="s">
        <v>12</v>
      </c>
      <c r="C57" t="s">
        <v>13</v>
      </c>
      <c r="D57" s="4">
        <v>46013</v>
      </c>
      <c r="E57">
        <v>148.1</v>
      </c>
      <c r="F57">
        <v>41.47</v>
      </c>
      <c r="G57">
        <v>106.63</v>
      </c>
      <c r="H57" s="4"/>
    </row>
    <row r="58" spans="1:8">
      <c r="A58" t="s">
        <v>11</v>
      </c>
      <c r="B58" t="s">
        <v>12</v>
      </c>
      <c r="C58" t="s">
        <v>13</v>
      </c>
      <c r="D58" s="4">
        <v>46013</v>
      </c>
      <c r="E58">
        <v>373.1</v>
      </c>
      <c r="F58">
        <v>54.85</v>
      </c>
      <c r="G58">
        <v>318.25</v>
      </c>
      <c r="H58" s="4"/>
    </row>
    <row r="59" spans="1:8">
      <c r="A59" t="s">
        <v>11</v>
      </c>
      <c r="B59" t="s">
        <v>12</v>
      </c>
      <c r="C59" t="s">
        <v>13</v>
      </c>
      <c r="D59" s="4">
        <v>46013</v>
      </c>
      <c r="E59">
        <v>1098.0999999999999</v>
      </c>
      <c r="F59">
        <v>307.47000000000003</v>
      </c>
      <c r="G59">
        <v>790.63</v>
      </c>
      <c r="H59" s="4"/>
    </row>
    <row r="60" spans="1:8">
      <c r="A60" t="s">
        <v>11</v>
      </c>
      <c r="B60" t="s">
        <v>12</v>
      </c>
      <c r="C60" t="s">
        <v>13</v>
      </c>
      <c r="D60" s="4">
        <v>46013</v>
      </c>
      <c r="E60">
        <v>474.1</v>
      </c>
      <c r="F60">
        <v>132.75</v>
      </c>
      <c r="G60">
        <v>341.35</v>
      </c>
      <c r="H60" s="4"/>
    </row>
    <row r="61" spans="1:8">
      <c r="A61" t="s">
        <v>11</v>
      </c>
      <c r="B61" t="s">
        <v>12</v>
      </c>
      <c r="C61" t="s">
        <v>13</v>
      </c>
      <c r="D61" s="4">
        <v>46013</v>
      </c>
      <c r="E61">
        <v>283.81</v>
      </c>
      <c r="F61">
        <v>44.7</v>
      </c>
      <c r="G61">
        <v>239.11</v>
      </c>
      <c r="H61" s="4"/>
    </row>
    <row r="62" spans="1:8">
      <c r="A62" t="s">
        <v>11</v>
      </c>
      <c r="B62" t="s">
        <v>12</v>
      </c>
      <c r="C62" t="s">
        <v>13</v>
      </c>
      <c r="D62" s="4">
        <v>46013</v>
      </c>
      <c r="E62">
        <v>498.1</v>
      </c>
      <c r="F62">
        <v>141.21</v>
      </c>
      <c r="G62">
        <v>356.89</v>
      </c>
      <c r="H62" s="4"/>
    </row>
    <row r="63" spans="1:8">
      <c r="A63" t="s">
        <v>11</v>
      </c>
      <c r="B63" t="s">
        <v>12</v>
      </c>
      <c r="C63" t="s">
        <v>13</v>
      </c>
      <c r="D63" s="4">
        <v>46013</v>
      </c>
      <c r="E63">
        <v>598.1</v>
      </c>
      <c r="F63">
        <v>288.88</v>
      </c>
      <c r="G63">
        <v>309.22000000000003</v>
      </c>
      <c r="H63" s="4"/>
    </row>
    <row r="64" spans="1:8">
      <c r="A64" t="s">
        <v>11</v>
      </c>
      <c r="B64" t="s">
        <v>12</v>
      </c>
      <c r="C64" t="s">
        <v>13</v>
      </c>
      <c r="D64" s="4">
        <v>46013</v>
      </c>
      <c r="E64">
        <v>185.6</v>
      </c>
      <c r="F64">
        <v>40</v>
      </c>
      <c r="G64">
        <v>145.6</v>
      </c>
      <c r="H64" s="4"/>
    </row>
    <row r="65" spans="1:8">
      <c r="A65" t="s">
        <v>11</v>
      </c>
      <c r="B65" t="s">
        <v>12</v>
      </c>
      <c r="C65" t="s">
        <v>13</v>
      </c>
      <c r="D65" s="4">
        <v>46013</v>
      </c>
      <c r="E65">
        <v>268.10000000000002</v>
      </c>
      <c r="F65">
        <v>40</v>
      </c>
      <c r="G65">
        <v>228.1</v>
      </c>
      <c r="H65" s="4"/>
    </row>
    <row r="66" spans="1:8">
      <c r="A66" t="s">
        <v>11</v>
      </c>
      <c r="B66" t="s">
        <v>12</v>
      </c>
      <c r="C66" t="s">
        <v>13</v>
      </c>
      <c r="D66" s="4">
        <v>46013</v>
      </c>
      <c r="E66">
        <v>796.1</v>
      </c>
      <c r="F66">
        <v>144.88999999999999</v>
      </c>
      <c r="G66">
        <v>651.21</v>
      </c>
      <c r="H66" s="4"/>
    </row>
    <row r="67" spans="1:8">
      <c r="A67" t="s">
        <v>11</v>
      </c>
      <c r="B67" t="s">
        <v>12</v>
      </c>
      <c r="C67" t="s">
        <v>13</v>
      </c>
      <c r="D67" s="4">
        <v>46013</v>
      </c>
      <c r="E67">
        <v>998.1</v>
      </c>
      <c r="F67">
        <v>450.64</v>
      </c>
      <c r="G67">
        <v>547.46</v>
      </c>
      <c r="H67" s="4"/>
    </row>
    <row r="68" spans="1:8">
      <c r="A68" t="s">
        <v>11</v>
      </c>
      <c r="B68" t="s">
        <v>12</v>
      </c>
      <c r="C68" t="s">
        <v>13</v>
      </c>
      <c r="D68" s="4">
        <v>46013</v>
      </c>
      <c r="E68">
        <v>148.1</v>
      </c>
      <c r="F68">
        <v>59.61</v>
      </c>
      <c r="G68">
        <v>88.49</v>
      </c>
      <c r="H68" s="4"/>
    </row>
    <row r="69" spans="1:8">
      <c r="A69" t="s">
        <v>11</v>
      </c>
      <c r="B69" t="s">
        <v>12</v>
      </c>
      <c r="C69" t="s">
        <v>13</v>
      </c>
      <c r="D69" s="4">
        <v>46013</v>
      </c>
      <c r="E69">
        <v>326.67</v>
      </c>
      <c r="F69">
        <v>96.04</v>
      </c>
      <c r="G69">
        <v>230.63</v>
      </c>
      <c r="H69" s="4"/>
    </row>
    <row r="70" spans="1:8">
      <c r="A70" t="s">
        <v>11</v>
      </c>
      <c r="B70" t="s">
        <v>12</v>
      </c>
      <c r="C70" t="s">
        <v>13</v>
      </c>
      <c r="D70" s="4">
        <v>46013</v>
      </c>
      <c r="E70">
        <v>1098.0999999999999</v>
      </c>
      <c r="F70">
        <v>538.07000000000005</v>
      </c>
      <c r="G70">
        <v>560.03</v>
      </c>
      <c r="H70" s="4"/>
    </row>
    <row r="71" spans="1:8">
      <c r="A71" t="s">
        <v>11</v>
      </c>
      <c r="B71" t="s">
        <v>12</v>
      </c>
      <c r="C71" t="s">
        <v>13</v>
      </c>
      <c r="D71" s="4">
        <v>46013</v>
      </c>
      <c r="E71">
        <v>998.1</v>
      </c>
      <c r="F71">
        <v>450.64</v>
      </c>
      <c r="G71">
        <v>547.46</v>
      </c>
      <c r="H71" s="4"/>
    </row>
    <row r="72" spans="1:8">
      <c r="A72" t="s">
        <v>11</v>
      </c>
      <c r="B72" t="s">
        <v>12</v>
      </c>
      <c r="C72" t="s">
        <v>13</v>
      </c>
      <c r="D72" s="4">
        <v>46013</v>
      </c>
      <c r="E72">
        <v>796.1</v>
      </c>
      <c r="F72">
        <v>222.91</v>
      </c>
      <c r="G72">
        <v>573.19000000000005</v>
      </c>
      <c r="H72" s="4"/>
    </row>
    <row r="73" spans="1:8">
      <c r="A73" t="s">
        <v>11</v>
      </c>
      <c r="B73" t="s">
        <v>12</v>
      </c>
      <c r="C73" t="s">
        <v>13</v>
      </c>
      <c r="D73" s="4">
        <v>46013</v>
      </c>
      <c r="E73">
        <v>598.1</v>
      </c>
      <c r="F73">
        <v>102.57</v>
      </c>
      <c r="G73">
        <v>495.53</v>
      </c>
      <c r="H73" s="4"/>
    </row>
    <row r="74" spans="1:8">
      <c r="A74" t="s">
        <v>11</v>
      </c>
      <c r="B74" t="s">
        <v>12</v>
      </c>
      <c r="C74" t="s">
        <v>13</v>
      </c>
      <c r="D74" s="4">
        <v>46013</v>
      </c>
      <c r="E74">
        <v>498.1</v>
      </c>
      <c r="F74">
        <v>195.26</v>
      </c>
      <c r="G74">
        <v>302.83999999999997</v>
      </c>
      <c r="H74" s="4"/>
    </row>
    <row r="75" spans="1:8">
      <c r="A75" t="s">
        <v>11</v>
      </c>
      <c r="B75" t="s">
        <v>12</v>
      </c>
      <c r="C75" t="s">
        <v>13</v>
      </c>
      <c r="D75" s="4">
        <v>46013</v>
      </c>
      <c r="E75">
        <v>283.83999999999997</v>
      </c>
      <c r="F75">
        <v>72.52</v>
      </c>
      <c r="G75">
        <v>211.32</v>
      </c>
      <c r="H75" s="4"/>
    </row>
    <row r="76" spans="1:8">
      <c r="A76" t="s">
        <v>11</v>
      </c>
      <c r="B76" t="s">
        <v>12</v>
      </c>
      <c r="C76" t="s">
        <v>13</v>
      </c>
      <c r="D76" s="4">
        <v>46013</v>
      </c>
      <c r="E76">
        <v>474.1</v>
      </c>
      <c r="F76">
        <v>232.31</v>
      </c>
      <c r="G76">
        <v>241.79</v>
      </c>
      <c r="H76" s="4"/>
    </row>
    <row r="77" spans="1:8">
      <c r="A77" t="s">
        <v>11</v>
      </c>
      <c r="B77" t="s">
        <v>12</v>
      </c>
      <c r="C77" t="s">
        <v>13</v>
      </c>
      <c r="D77" s="4">
        <v>46013</v>
      </c>
      <c r="E77">
        <v>268.10000000000002</v>
      </c>
      <c r="F77">
        <v>123.86</v>
      </c>
      <c r="G77">
        <v>144.24</v>
      </c>
      <c r="H77" s="4"/>
    </row>
    <row r="78" spans="1:8">
      <c r="A78" t="s">
        <v>11</v>
      </c>
      <c r="B78" t="s">
        <v>12</v>
      </c>
      <c r="C78" t="s">
        <v>13</v>
      </c>
      <c r="D78" s="4">
        <v>46013</v>
      </c>
      <c r="E78">
        <v>373.1</v>
      </c>
      <c r="F78">
        <v>133.19999999999999</v>
      </c>
      <c r="G78">
        <v>239.9</v>
      </c>
      <c r="H78" s="4"/>
    </row>
    <row r="79" spans="1:8">
      <c r="A79" t="s">
        <v>11</v>
      </c>
      <c r="B79" t="s">
        <v>12</v>
      </c>
      <c r="C79" t="s">
        <v>13</v>
      </c>
      <c r="D79" s="4">
        <v>46013</v>
      </c>
      <c r="E79">
        <v>998.1</v>
      </c>
      <c r="F79">
        <v>237.55</v>
      </c>
      <c r="G79">
        <v>760.55</v>
      </c>
      <c r="H79" s="4"/>
    </row>
    <row r="80" spans="1:8">
      <c r="A80" t="s">
        <v>11</v>
      </c>
      <c r="B80" t="s">
        <v>12</v>
      </c>
      <c r="C80" t="s">
        <v>13</v>
      </c>
      <c r="D80" s="4">
        <v>46013</v>
      </c>
      <c r="E80">
        <v>373.1</v>
      </c>
      <c r="F80">
        <v>172.37</v>
      </c>
      <c r="G80">
        <v>200.73</v>
      </c>
      <c r="H80" s="4"/>
    </row>
    <row r="81" spans="1:8">
      <c r="A81" t="s">
        <v>11</v>
      </c>
      <c r="B81" t="s">
        <v>12</v>
      </c>
      <c r="C81" t="s">
        <v>13</v>
      </c>
      <c r="D81" s="4">
        <v>46013</v>
      </c>
      <c r="E81">
        <v>498.1</v>
      </c>
      <c r="F81">
        <v>158.63999999999999</v>
      </c>
      <c r="G81">
        <v>339.46</v>
      </c>
      <c r="H81" s="4"/>
    </row>
    <row r="82" spans="1:8">
      <c r="A82" t="s">
        <v>11</v>
      </c>
      <c r="B82" t="s">
        <v>12</v>
      </c>
      <c r="C82" t="s">
        <v>13</v>
      </c>
      <c r="D82" s="4">
        <v>46013</v>
      </c>
      <c r="E82">
        <v>998.1</v>
      </c>
      <c r="F82">
        <v>185.15</v>
      </c>
      <c r="G82">
        <v>812.95</v>
      </c>
      <c r="H82" s="4"/>
    </row>
    <row r="83" spans="1:8">
      <c r="A83" t="s">
        <v>11</v>
      </c>
      <c r="B83" t="s">
        <v>12</v>
      </c>
      <c r="C83" t="s">
        <v>13</v>
      </c>
      <c r="D83" s="4">
        <v>46013</v>
      </c>
      <c r="E83">
        <v>198.1</v>
      </c>
      <c r="F83">
        <v>40</v>
      </c>
      <c r="G83">
        <v>158.1</v>
      </c>
      <c r="H83" s="4"/>
    </row>
    <row r="84" spans="1:8">
      <c r="A84" t="s">
        <v>11</v>
      </c>
      <c r="B84" t="s">
        <v>12</v>
      </c>
      <c r="C84" t="s">
        <v>13</v>
      </c>
      <c r="D84" s="4">
        <v>46013</v>
      </c>
      <c r="E84">
        <v>148.1</v>
      </c>
      <c r="F84">
        <v>42.5</v>
      </c>
      <c r="G84">
        <v>105.6</v>
      </c>
      <c r="H84" s="4"/>
    </row>
    <row r="85" spans="1:8">
      <c r="A85" t="s">
        <v>11</v>
      </c>
      <c r="B85" t="s">
        <v>12</v>
      </c>
      <c r="C85" t="s">
        <v>13</v>
      </c>
      <c r="D85" s="4">
        <v>46013</v>
      </c>
      <c r="E85">
        <v>796.1</v>
      </c>
      <c r="F85">
        <v>309.27999999999997</v>
      </c>
      <c r="G85">
        <v>486.82</v>
      </c>
      <c r="H85" s="4"/>
    </row>
    <row r="86" spans="1:8">
      <c r="A86" t="s">
        <v>11</v>
      </c>
      <c r="B86" t="s">
        <v>12</v>
      </c>
      <c r="C86" t="s">
        <v>13</v>
      </c>
      <c r="D86" s="4">
        <v>46013</v>
      </c>
      <c r="E86">
        <v>373.1</v>
      </c>
      <c r="F86">
        <v>95.33</v>
      </c>
      <c r="G86">
        <v>277.77</v>
      </c>
      <c r="H86" s="4"/>
    </row>
    <row r="87" spans="1:8">
      <c r="A87" t="s">
        <v>11</v>
      </c>
      <c r="B87" t="s">
        <v>12</v>
      </c>
      <c r="C87" t="s">
        <v>13</v>
      </c>
      <c r="D87" s="4">
        <v>46013</v>
      </c>
      <c r="E87">
        <v>498.1</v>
      </c>
      <c r="F87">
        <v>55.79</v>
      </c>
      <c r="G87">
        <v>442.31</v>
      </c>
      <c r="H87" s="4"/>
    </row>
    <row r="88" spans="1:8">
      <c r="A88" t="s">
        <v>11</v>
      </c>
      <c r="B88" t="s">
        <v>12</v>
      </c>
      <c r="C88" t="s">
        <v>13</v>
      </c>
      <c r="D88" s="4">
        <v>46013</v>
      </c>
      <c r="E88">
        <v>498.1</v>
      </c>
      <c r="F88">
        <v>141.21</v>
      </c>
      <c r="G88">
        <v>356.89</v>
      </c>
      <c r="H88" s="4"/>
    </row>
    <row r="89" spans="1:8">
      <c r="A89" t="s">
        <v>11</v>
      </c>
      <c r="B89" t="s">
        <v>12</v>
      </c>
      <c r="C89" t="s">
        <v>13</v>
      </c>
      <c r="D89" s="4">
        <v>46013</v>
      </c>
      <c r="E89">
        <v>788.1</v>
      </c>
      <c r="F89">
        <v>143.43</v>
      </c>
      <c r="G89">
        <v>644.66999999999996</v>
      </c>
      <c r="H89" s="4"/>
    </row>
    <row r="90" spans="1:8">
      <c r="A90" t="s">
        <v>11</v>
      </c>
      <c r="B90" t="s">
        <v>12</v>
      </c>
      <c r="C90" t="s">
        <v>13</v>
      </c>
      <c r="D90" s="4">
        <v>46013</v>
      </c>
      <c r="E90">
        <v>1098.0999999999999</v>
      </c>
      <c r="F90">
        <v>422.77</v>
      </c>
      <c r="G90">
        <v>675.33</v>
      </c>
      <c r="H90" s="4"/>
    </row>
    <row r="91" spans="1:8">
      <c r="A91" t="s">
        <v>11</v>
      </c>
      <c r="B91" t="s">
        <v>12</v>
      </c>
      <c r="C91" t="s">
        <v>13</v>
      </c>
      <c r="D91" s="4">
        <v>46013</v>
      </c>
      <c r="E91">
        <v>358.1</v>
      </c>
      <c r="F91">
        <v>101.52</v>
      </c>
      <c r="G91">
        <v>256.58</v>
      </c>
      <c r="H91" s="4"/>
    </row>
    <row r="92" spans="1:8">
      <c r="A92" t="s">
        <v>11</v>
      </c>
      <c r="B92" t="s">
        <v>12</v>
      </c>
      <c r="C92" t="s">
        <v>13</v>
      </c>
      <c r="D92" s="4">
        <v>46013</v>
      </c>
      <c r="E92">
        <v>148.1</v>
      </c>
      <c r="F92">
        <v>40</v>
      </c>
      <c r="G92">
        <v>108.1</v>
      </c>
      <c r="H92" s="4"/>
    </row>
    <row r="93" spans="1:8">
      <c r="A93" t="s">
        <v>11</v>
      </c>
      <c r="B93" t="s">
        <v>12</v>
      </c>
      <c r="C93" t="s">
        <v>13</v>
      </c>
      <c r="D93" s="4">
        <v>46013</v>
      </c>
      <c r="E93">
        <v>474.1</v>
      </c>
      <c r="F93">
        <v>182.53</v>
      </c>
      <c r="G93">
        <v>291.57</v>
      </c>
      <c r="H93" s="4"/>
    </row>
    <row r="94" spans="1:8">
      <c r="A94" t="s">
        <v>11</v>
      </c>
      <c r="B94" t="s">
        <v>12</v>
      </c>
      <c r="C94" t="s">
        <v>13</v>
      </c>
      <c r="D94" s="4">
        <v>46013</v>
      </c>
      <c r="E94">
        <v>474.1</v>
      </c>
      <c r="F94">
        <v>86.29</v>
      </c>
      <c r="G94">
        <v>387.81</v>
      </c>
      <c r="H94" s="4"/>
    </row>
    <row r="95" spans="1:8">
      <c r="A95" t="s">
        <v>11</v>
      </c>
      <c r="B95" t="s">
        <v>12</v>
      </c>
      <c r="C95" t="s">
        <v>13</v>
      </c>
      <c r="D95" s="4">
        <v>46013</v>
      </c>
      <c r="E95">
        <v>173.1</v>
      </c>
      <c r="F95">
        <v>40</v>
      </c>
      <c r="G95">
        <v>133.1</v>
      </c>
      <c r="H95" s="4"/>
    </row>
    <row r="96" spans="1:8">
      <c r="A96" t="s">
        <v>11</v>
      </c>
      <c r="B96" t="s">
        <v>12</v>
      </c>
      <c r="C96" t="s">
        <v>13</v>
      </c>
      <c r="D96" s="4">
        <v>46013</v>
      </c>
      <c r="E96">
        <v>788.1</v>
      </c>
      <c r="F96">
        <v>220.67</v>
      </c>
      <c r="G96">
        <v>567.42999999999995</v>
      </c>
      <c r="H96" s="4"/>
    </row>
    <row r="97" spans="1:8">
      <c r="A97" t="s">
        <v>11</v>
      </c>
      <c r="B97" t="s">
        <v>12</v>
      </c>
      <c r="C97" t="s">
        <v>13</v>
      </c>
      <c r="D97" s="4">
        <v>46013</v>
      </c>
      <c r="E97">
        <v>498.1</v>
      </c>
      <c r="F97">
        <v>141.21</v>
      </c>
      <c r="G97">
        <v>356.89</v>
      </c>
      <c r="H97" s="4"/>
    </row>
    <row r="98" spans="1:8">
      <c r="A98" t="s">
        <v>11</v>
      </c>
      <c r="B98" t="s">
        <v>12</v>
      </c>
      <c r="C98" t="s">
        <v>13</v>
      </c>
      <c r="D98" s="4">
        <v>46013</v>
      </c>
      <c r="E98">
        <v>178.1</v>
      </c>
      <c r="F98">
        <v>40</v>
      </c>
      <c r="G98">
        <v>138.1</v>
      </c>
      <c r="H98" s="4"/>
    </row>
    <row r="99" spans="1:8">
      <c r="A99" t="s">
        <v>11</v>
      </c>
      <c r="B99" t="s">
        <v>12</v>
      </c>
      <c r="C99" t="s">
        <v>13</v>
      </c>
      <c r="D99" s="4">
        <v>46013</v>
      </c>
      <c r="E99">
        <v>588.1</v>
      </c>
      <c r="F99">
        <v>109.09</v>
      </c>
      <c r="G99">
        <v>479.01</v>
      </c>
      <c r="H99" s="4"/>
    </row>
    <row r="100" spans="1:8">
      <c r="A100" t="s">
        <v>11</v>
      </c>
      <c r="B100" t="s">
        <v>12</v>
      </c>
      <c r="C100" t="s">
        <v>13</v>
      </c>
      <c r="D100" s="4">
        <v>46013</v>
      </c>
      <c r="E100">
        <v>998.1</v>
      </c>
      <c r="F100">
        <v>132.75</v>
      </c>
      <c r="G100">
        <v>865.35</v>
      </c>
      <c r="H100" s="4"/>
    </row>
    <row r="101" spans="1:8">
      <c r="A101" t="s">
        <v>11</v>
      </c>
      <c r="B101" t="s">
        <v>12</v>
      </c>
      <c r="C101" t="s">
        <v>13</v>
      </c>
      <c r="D101" s="4">
        <v>46013</v>
      </c>
      <c r="E101">
        <v>498.1</v>
      </c>
      <c r="F101">
        <v>106.34</v>
      </c>
      <c r="G101">
        <v>391.76</v>
      </c>
      <c r="H101" s="4"/>
    </row>
    <row r="102" spans="1:8">
      <c r="A102" t="s">
        <v>11</v>
      </c>
      <c r="B102" t="s">
        <v>12</v>
      </c>
      <c r="C102" t="s">
        <v>13</v>
      </c>
      <c r="D102" s="4">
        <v>46013</v>
      </c>
      <c r="E102">
        <v>398.1</v>
      </c>
      <c r="F102">
        <v>72.45</v>
      </c>
      <c r="G102">
        <v>325.64999999999998</v>
      </c>
      <c r="H102" s="4"/>
    </row>
    <row r="103" spans="1:8">
      <c r="A103" t="s">
        <v>11</v>
      </c>
      <c r="B103" t="s">
        <v>12</v>
      </c>
      <c r="C103" t="s">
        <v>13</v>
      </c>
      <c r="D103" s="4">
        <v>46013</v>
      </c>
      <c r="E103">
        <v>498.1</v>
      </c>
      <c r="F103">
        <v>129.01</v>
      </c>
      <c r="G103">
        <v>369.09</v>
      </c>
      <c r="H103" s="4"/>
    </row>
    <row r="104" spans="1:8">
      <c r="A104" t="s">
        <v>11</v>
      </c>
      <c r="B104" t="s">
        <v>12</v>
      </c>
      <c r="C104" t="s">
        <v>13</v>
      </c>
      <c r="D104" s="4">
        <v>46013</v>
      </c>
      <c r="E104">
        <v>998.1</v>
      </c>
      <c r="F104">
        <v>391.26</v>
      </c>
      <c r="G104">
        <v>606.84</v>
      </c>
      <c r="H104" s="4"/>
    </row>
    <row r="105" spans="1:8">
      <c r="A105" t="s">
        <v>11</v>
      </c>
      <c r="B105" t="s">
        <v>12</v>
      </c>
      <c r="C105" t="s">
        <v>13</v>
      </c>
      <c r="D105" s="4">
        <v>46013</v>
      </c>
      <c r="E105">
        <v>173.1</v>
      </c>
      <c r="F105">
        <v>70.88</v>
      </c>
      <c r="G105">
        <v>102.22</v>
      </c>
      <c r="H105" s="4"/>
    </row>
    <row r="106" spans="1:8">
      <c r="A106" t="s">
        <v>14</v>
      </c>
      <c r="B106" t="s">
        <v>15</v>
      </c>
      <c r="C106" t="s">
        <v>16</v>
      </c>
      <c r="D106" s="4">
        <v>46008</v>
      </c>
      <c r="E106">
        <v>163.1</v>
      </c>
      <c r="F106">
        <v>40</v>
      </c>
      <c r="G106">
        <v>123.1</v>
      </c>
      <c r="H106" s="4"/>
    </row>
    <row r="107" spans="1:8">
      <c r="A107" t="s">
        <v>14</v>
      </c>
      <c r="B107" t="s">
        <v>15</v>
      </c>
      <c r="C107" t="s">
        <v>16</v>
      </c>
      <c r="D107" s="4">
        <v>46008</v>
      </c>
      <c r="E107">
        <v>243.35</v>
      </c>
      <c r="F107">
        <v>51.96</v>
      </c>
      <c r="G107">
        <v>191.39</v>
      </c>
      <c r="H107" s="4"/>
    </row>
    <row r="108" spans="1:8">
      <c r="A108" t="s">
        <v>14</v>
      </c>
      <c r="B108" t="s">
        <v>15</v>
      </c>
      <c r="C108" t="s">
        <v>16</v>
      </c>
      <c r="D108" s="4">
        <v>46008</v>
      </c>
      <c r="E108">
        <v>188.1</v>
      </c>
      <c r="F108">
        <v>40</v>
      </c>
      <c r="G108">
        <v>148.1</v>
      </c>
      <c r="H108" s="4"/>
    </row>
    <row r="109" spans="1:8">
      <c r="A109" t="s">
        <v>14</v>
      </c>
      <c r="B109" t="s">
        <v>15</v>
      </c>
      <c r="C109" t="s">
        <v>16</v>
      </c>
      <c r="D109" s="4">
        <v>46008</v>
      </c>
      <c r="E109">
        <v>188.1</v>
      </c>
      <c r="F109">
        <v>40</v>
      </c>
      <c r="G109">
        <v>148.1</v>
      </c>
      <c r="H109" s="4"/>
    </row>
    <row r="110" spans="1:8">
      <c r="A110" t="s">
        <v>14</v>
      </c>
      <c r="B110" t="s">
        <v>15</v>
      </c>
      <c r="C110" t="s">
        <v>16</v>
      </c>
      <c r="D110" s="4">
        <v>46008</v>
      </c>
      <c r="E110">
        <v>225.96</v>
      </c>
      <c r="F110">
        <v>40</v>
      </c>
      <c r="G110">
        <v>185.96</v>
      </c>
      <c r="H110" s="4"/>
    </row>
    <row r="111" spans="1:8">
      <c r="A111" t="s">
        <v>14</v>
      </c>
      <c r="B111" t="s">
        <v>15</v>
      </c>
      <c r="C111" t="s">
        <v>16</v>
      </c>
      <c r="D111" s="4">
        <v>46008</v>
      </c>
      <c r="E111">
        <v>248.1</v>
      </c>
      <c r="F111">
        <v>40</v>
      </c>
      <c r="G111">
        <v>208.1</v>
      </c>
      <c r="H111" s="4"/>
    </row>
    <row r="112" spans="1:8">
      <c r="A112" t="s">
        <v>14</v>
      </c>
      <c r="B112" t="s">
        <v>15</v>
      </c>
      <c r="C112" t="s">
        <v>16</v>
      </c>
      <c r="D112" s="4">
        <v>46008</v>
      </c>
      <c r="E112">
        <v>443.1</v>
      </c>
      <c r="F112">
        <v>89.95</v>
      </c>
      <c r="G112">
        <v>353.15</v>
      </c>
      <c r="H112" s="4"/>
    </row>
    <row r="113" spans="1:8">
      <c r="A113" t="s">
        <v>14</v>
      </c>
      <c r="B113" t="s">
        <v>15</v>
      </c>
      <c r="C113" t="s">
        <v>16</v>
      </c>
      <c r="D113" s="4">
        <v>46008</v>
      </c>
      <c r="E113">
        <v>398.1</v>
      </c>
      <c r="F113">
        <v>76.63</v>
      </c>
      <c r="G113">
        <v>321.47000000000003</v>
      </c>
      <c r="H113" s="4"/>
    </row>
    <row r="114" spans="1:8">
      <c r="A114" t="s">
        <v>14</v>
      </c>
      <c r="B114" t="s">
        <v>15</v>
      </c>
      <c r="C114" t="s">
        <v>16</v>
      </c>
      <c r="D114" s="4">
        <v>46008</v>
      </c>
      <c r="E114">
        <v>201.43</v>
      </c>
      <c r="F114">
        <v>40</v>
      </c>
      <c r="G114">
        <v>161.43</v>
      </c>
      <c r="H114" s="4"/>
    </row>
    <row r="115" spans="1:8">
      <c r="A115" t="s">
        <v>14</v>
      </c>
      <c r="B115" t="s">
        <v>15</v>
      </c>
      <c r="C115" t="s">
        <v>16</v>
      </c>
      <c r="D115" s="4">
        <v>46008</v>
      </c>
      <c r="E115">
        <v>755.43</v>
      </c>
      <c r="F115">
        <v>145.41999999999999</v>
      </c>
      <c r="G115">
        <v>610.01</v>
      </c>
      <c r="H115" s="4"/>
    </row>
    <row r="116" spans="1:8">
      <c r="A116" t="s">
        <v>14</v>
      </c>
      <c r="B116" t="s">
        <v>15</v>
      </c>
      <c r="C116" t="s">
        <v>16</v>
      </c>
      <c r="D116" s="4">
        <v>46008</v>
      </c>
      <c r="E116">
        <v>200.77</v>
      </c>
      <c r="F116">
        <v>40</v>
      </c>
      <c r="G116">
        <v>160.77000000000001</v>
      </c>
      <c r="H116" s="4"/>
    </row>
    <row r="117" spans="1:8">
      <c r="A117" t="s">
        <v>14</v>
      </c>
      <c r="B117" t="s">
        <v>15</v>
      </c>
      <c r="C117" t="s">
        <v>16</v>
      </c>
      <c r="D117" s="4">
        <v>46008</v>
      </c>
      <c r="E117">
        <v>336.1</v>
      </c>
      <c r="F117">
        <v>40</v>
      </c>
      <c r="G117">
        <v>296.10000000000002</v>
      </c>
      <c r="H117" s="4"/>
    </row>
    <row r="118" spans="1:8">
      <c r="A118" t="s">
        <v>14</v>
      </c>
      <c r="B118" t="s">
        <v>15</v>
      </c>
      <c r="C118" t="s">
        <v>16</v>
      </c>
      <c r="D118" s="4">
        <v>46008</v>
      </c>
      <c r="E118">
        <v>105.6</v>
      </c>
      <c r="F118">
        <v>40</v>
      </c>
      <c r="G118">
        <v>65.599999999999994</v>
      </c>
      <c r="H118" s="4"/>
    </row>
    <row r="119" spans="1:8">
      <c r="A119" t="s">
        <v>14</v>
      </c>
      <c r="B119" t="s">
        <v>15</v>
      </c>
      <c r="C119" t="s">
        <v>16</v>
      </c>
      <c r="D119" s="4">
        <v>46008</v>
      </c>
      <c r="E119">
        <v>188.1</v>
      </c>
      <c r="F119">
        <v>40</v>
      </c>
      <c r="G119">
        <v>148.1</v>
      </c>
      <c r="H119" s="4"/>
    </row>
    <row r="120" spans="1:8">
      <c r="A120" t="s">
        <v>14</v>
      </c>
      <c r="B120" t="s">
        <v>15</v>
      </c>
      <c r="C120" t="s">
        <v>16</v>
      </c>
      <c r="D120" s="4">
        <v>46008</v>
      </c>
      <c r="E120">
        <v>163.1</v>
      </c>
      <c r="F120">
        <v>40.53</v>
      </c>
      <c r="G120">
        <v>122.57</v>
      </c>
      <c r="H120" s="4"/>
    </row>
    <row r="121" spans="1:8">
      <c r="A121" t="s">
        <v>14</v>
      </c>
      <c r="B121" t="s">
        <v>15</v>
      </c>
      <c r="C121" t="s">
        <v>16</v>
      </c>
      <c r="D121" s="4">
        <v>46008</v>
      </c>
      <c r="E121">
        <v>225.96</v>
      </c>
      <c r="F121">
        <v>51.41</v>
      </c>
      <c r="G121">
        <v>174.55</v>
      </c>
      <c r="H121" s="4"/>
    </row>
    <row r="122" spans="1:8">
      <c r="A122" t="s">
        <v>14</v>
      </c>
      <c r="B122" t="s">
        <v>15</v>
      </c>
      <c r="C122" t="s">
        <v>16</v>
      </c>
      <c r="D122" s="4">
        <v>46008</v>
      </c>
      <c r="E122">
        <v>158.1</v>
      </c>
      <c r="F122">
        <v>40</v>
      </c>
      <c r="G122">
        <v>118.1</v>
      </c>
      <c r="H122" s="4"/>
    </row>
    <row r="123" spans="1:8">
      <c r="A123" t="s">
        <v>14</v>
      </c>
      <c r="B123" t="s">
        <v>15</v>
      </c>
      <c r="C123" t="s">
        <v>16</v>
      </c>
      <c r="D123" s="4">
        <v>46008</v>
      </c>
      <c r="E123">
        <v>755.43</v>
      </c>
      <c r="F123">
        <v>68.739999999999995</v>
      </c>
      <c r="G123">
        <v>686.69</v>
      </c>
      <c r="H123" s="4"/>
    </row>
    <row r="124" spans="1:8">
      <c r="A124" t="s">
        <v>14</v>
      </c>
      <c r="B124" t="s">
        <v>15</v>
      </c>
      <c r="C124" t="s">
        <v>16</v>
      </c>
      <c r="D124" s="4">
        <v>46008</v>
      </c>
      <c r="E124">
        <v>218.1</v>
      </c>
      <c r="F124">
        <v>40</v>
      </c>
      <c r="G124">
        <v>178.1</v>
      </c>
      <c r="H124" s="4"/>
    </row>
    <row r="125" spans="1:8">
      <c r="A125" t="s">
        <v>14</v>
      </c>
      <c r="B125" t="s">
        <v>15</v>
      </c>
      <c r="C125" t="s">
        <v>16</v>
      </c>
      <c r="D125" s="4">
        <v>46008</v>
      </c>
      <c r="E125">
        <v>313.10000000000002</v>
      </c>
      <c r="F125">
        <v>40</v>
      </c>
      <c r="G125">
        <v>273.10000000000002</v>
      </c>
      <c r="H125" s="4"/>
    </row>
    <row r="126" spans="1:8">
      <c r="A126" t="s">
        <v>14</v>
      </c>
      <c r="B126" t="s">
        <v>15</v>
      </c>
      <c r="C126" t="s">
        <v>16</v>
      </c>
      <c r="D126" s="4">
        <v>46008</v>
      </c>
      <c r="E126">
        <v>198.1</v>
      </c>
      <c r="F126">
        <v>40</v>
      </c>
      <c r="G126">
        <v>158.1</v>
      </c>
      <c r="H126" s="4"/>
    </row>
    <row r="127" spans="1:8">
      <c r="A127" t="s">
        <v>14</v>
      </c>
      <c r="B127" t="s">
        <v>15</v>
      </c>
      <c r="C127" t="s">
        <v>16</v>
      </c>
      <c r="D127" s="4">
        <v>46008</v>
      </c>
      <c r="E127">
        <v>88.1</v>
      </c>
      <c r="F127">
        <v>40</v>
      </c>
      <c r="G127">
        <v>48.1</v>
      </c>
      <c r="H127" s="4"/>
    </row>
    <row r="128" spans="1:8">
      <c r="A128" t="s">
        <v>14</v>
      </c>
      <c r="B128" t="s">
        <v>15</v>
      </c>
      <c r="C128" t="s">
        <v>16</v>
      </c>
      <c r="D128" s="4">
        <v>46008</v>
      </c>
      <c r="E128">
        <v>218.1</v>
      </c>
      <c r="F128">
        <v>49.62</v>
      </c>
      <c r="G128">
        <v>168.48</v>
      </c>
      <c r="H128" s="4"/>
    </row>
    <row r="129" spans="1:8">
      <c r="A129" t="s">
        <v>14</v>
      </c>
      <c r="B129" t="s">
        <v>15</v>
      </c>
      <c r="C129" t="s">
        <v>16</v>
      </c>
      <c r="D129" s="4">
        <v>46008</v>
      </c>
      <c r="E129">
        <v>337.54</v>
      </c>
      <c r="F129">
        <v>40</v>
      </c>
      <c r="G129">
        <v>297.54000000000002</v>
      </c>
      <c r="H129" s="4"/>
    </row>
    <row r="130" spans="1:8">
      <c r="A130" t="s">
        <v>14</v>
      </c>
      <c r="B130" t="s">
        <v>15</v>
      </c>
      <c r="C130" t="s">
        <v>16</v>
      </c>
      <c r="D130" s="4">
        <v>46008</v>
      </c>
      <c r="E130">
        <v>158.1</v>
      </c>
      <c r="F130">
        <v>40</v>
      </c>
      <c r="G130">
        <v>118.1</v>
      </c>
      <c r="H130" s="4"/>
    </row>
    <row r="131" spans="1:8">
      <c r="A131" t="s">
        <v>14</v>
      </c>
      <c r="B131" t="s">
        <v>15</v>
      </c>
      <c r="C131" t="s">
        <v>16</v>
      </c>
      <c r="D131" s="4">
        <v>46008</v>
      </c>
      <c r="E131">
        <v>286.43</v>
      </c>
      <c r="F131">
        <v>40</v>
      </c>
      <c r="G131">
        <v>246.43</v>
      </c>
      <c r="H131" s="4"/>
    </row>
    <row r="132" spans="1:8">
      <c r="A132" t="s">
        <v>14</v>
      </c>
      <c r="B132" t="s">
        <v>15</v>
      </c>
      <c r="C132" t="s">
        <v>16</v>
      </c>
      <c r="D132" s="4">
        <v>46008</v>
      </c>
      <c r="E132">
        <v>188.1</v>
      </c>
      <c r="F132">
        <v>40</v>
      </c>
      <c r="G132">
        <v>148.1</v>
      </c>
      <c r="H132" s="4"/>
    </row>
    <row r="133" spans="1:8">
      <c r="A133" t="s">
        <v>14</v>
      </c>
      <c r="B133" t="s">
        <v>15</v>
      </c>
      <c r="C133" t="s">
        <v>16</v>
      </c>
      <c r="D133" s="4">
        <v>46008</v>
      </c>
      <c r="E133">
        <v>286.43</v>
      </c>
      <c r="F133">
        <v>61.15</v>
      </c>
      <c r="G133">
        <v>225.28</v>
      </c>
      <c r="H133" s="4"/>
    </row>
    <row r="134" spans="1:8">
      <c r="A134" t="s">
        <v>14</v>
      </c>
      <c r="B134" t="s">
        <v>15</v>
      </c>
      <c r="C134" t="s">
        <v>16</v>
      </c>
      <c r="D134" s="4">
        <v>46008</v>
      </c>
      <c r="E134">
        <v>376.27</v>
      </c>
      <c r="F134">
        <v>72.430000000000007</v>
      </c>
      <c r="G134">
        <v>303.83999999999997</v>
      </c>
      <c r="H134" s="4"/>
    </row>
    <row r="135" spans="1:8">
      <c r="A135" t="s">
        <v>14</v>
      </c>
      <c r="B135" t="s">
        <v>15</v>
      </c>
      <c r="C135" t="s">
        <v>16</v>
      </c>
      <c r="D135" s="4">
        <v>46008</v>
      </c>
      <c r="E135">
        <v>797.01</v>
      </c>
      <c r="F135">
        <v>181.32</v>
      </c>
      <c r="G135">
        <v>615.69000000000005</v>
      </c>
      <c r="H135" s="4"/>
    </row>
    <row r="136" spans="1:8">
      <c r="A136" t="s">
        <v>14</v>
      </c>
      <c r="B136" t="s">
        <v>15</v>
      </c>
      <c r="C136" t="s">
        <v>16</v>
      </c>
      <c r="D136" s="4">
        <v>46008</v>
      </c>
      <c r="E136">
        <v>108.1</v>
      </c>
      <c r="F136">
        <v>40</v>
      </c>
      <c r="G136">
        <v>68.099999999999994</v>
      </c>
      <c r="H136" s="4"/>
    </row>
    <row r="137" spans="1:8">
      <c r="A137" t="s">
        <v>14</v>
      </c>
      <c r="B137" t="s">
        <v>15</v>
      </c>
      <c r="C137" t="s">
        <v>16</v>
      </c>
      <c r="D137" s="4">
        <v>46008</v>
      </c>
      <c r="E137">
        <v>188.1</v>
      </c>
      <c r="F137">
        <v>40</v>
      </c>
      <c r="G137">
        <v>148.1</v>
      </c>
      <c r="H137" s="4"/>
    </row>
    <row r="138" spans="1:8">
      <c r="A138" t="s">
        <v>14</v>
      </c>
      <c r="B138" t="s">
        <v>15</v>
      </c>
      <c r="C138" t="s">
        <v>16</v>
      </c>
      <c r="D138" s="4">
        <v>46008</v>
      </c>
      <c r="E138">
        <v>563.1</v>
      </c>
      <c r="F138">
        <v>51.24</v>
      </c>
      <c r="G138">
        <v>511.86</v>
      </c>
      <c r="H138" s="4"/>
    </row>
    <row r="139" spans="1:8">
      <c r="A139" t="s">
        <v>14</v>
      </c>
      <c r="B139" t="s">
        <v>15</v>
      </c>
      <c r="C139" t="s">
        <v>16</v>
      </c>
      <c r="D139" s="4">
        <v>46008</v>
      </c>
      <c r="E139">
        <v>498.1</v>
      </c>
      <c r="F139">
        <v>69.73</v>
      </c>
      <c r="G139">
        <v>428.37</v>
      </c>
      <c r="H139" s="4"/>
    </row>
    <row r="140" spans="1:8">
      <c r="A140" t="s">
        <v>14</v>
      </c>
      <c r="B140" t="s">
        <v>15</v>
      </c>
      <c r="C140" t="s">
        <v>16</v>
      </c>
      <c r="D140" s="4">
        <v>46008</v>
      </c>
      <c r="E140">
        <v>153.85</v>
      </c>
      <c r="F140">
        <v>40</v>
      </c>
      <c r="G140">
        <v>113.85</v>
      </c>
      <c r="H140" s="4"/>
    </row>
    <row r="141" spans="1:8">
      <c r="A141" t="s">
        <v>14</v>
      </c>
      <c r="B141" t="s">
        <v>15</v>
      </c>
      <c r="C141" t="s">
        <v>16</v>
      </c>
      <c r="D141" s="4">
        <v>46008</v>
      </c>
      <c r="E141">
        <v>105.6</v>
      </c>
      <c r="F141">
        <v>40</v>
      </c>
      <c r="G141">
        <v>65.599999999999994</v>
      </c>
      <c r="H141" s="4"/>
    </row>
    <row r="142" spans="1:8">
      <c r="A142" t="s">
        <v>14</v>
      </c>
      <c r="B142" t="s">
        <v>15</v>
      </c>
      <c r="C142" t="s">
        <v>16</v>
      </c>
      <c r="D142" s="4">
        <v>46008</v>
      </c>
      <c r="E142">
        <v>98.1</v>
      </c>
      <c r="F142">
        <v>40</v>
      </c>
      <c r="G142">
        <v>58.1</v>
      </c>
      <c r="H142" s="4"/>
    </row>
    <row r="143" spans="1:8">
      <c r="A143" t="s">
        <v>14</v>
      </c>
      <c r="B143" t="s">
        <v>15</v>
      </c>
      <c r="C143" t="s">
        <v>16</v>
      </c>
      <c r="D143" s="4">
        <v>46008</v>
      </c>
      <c r="E143">
        <v>653</v>
      </c>
      <c r="F143">
        <v>132.56</v>
      </c>
      <c r="G143">
        <v>520.44000000000005</v>
      </c>
      <c r="H143" s="4"/>
    </row>
    <row r="144" spans="1:8">
      <c r="A144" t="s">
        <v>14</v>
      </c>
      <c r="B144" t="s">
        <v>15</v>
      </c>
      <c r="C144" t="s">
        <v>16</v>
      </c>
      <c r="D144" s="4">
        <v>46008</v>
      </c>
      <c r="E144">
        <v>168.68</v>
      </c>
      <c r="F144">
        <v>40</v>
      </c>
      <c r="G144">
        <v>128.68</v>
      </c>
      <c r="H144" s="4"/>
    </row>
    <row r="145" spans="1:8">
      <c r="A145" t="s">
        <v>14</v>
      </c>
      <c r="B145" t="s">
        <v>15</v>
      </c>
      <c r="C145" t="s">
        <v>16</v>
      </c>
      <c r="D145" s="4">
        <v>46008</v>
      </c>
      <c r="E145">
        <v>98.1</v>
      </c>
      <c r="F145">
        <v>40</v>
      </c>
      <c r="G145">
        <v>58.1</v>
      </c>
      <c r="H145" s="4"/>
    </row>
    <row r="146" spans="1:8">
      <c r="A146" t="s">
        <v>14</v>
      </c>
      <c r="B146" t="s">
        <v>15</v>
      </c>
      <c r="C146" t="s">
        <v>16</v>
      </c>
      <c r="D146" s="4">
        <v>46008</v>
      </c>
      <c r="E146">
        <v>131.02000000000001</v>
      </c>
      <c r="F146">
        <v>40</v>
      </c>
      <c r="G146">
        <v>91.02</v>
      </c>
      <c r="H146" s="4"/>
    </row>
    <row r="147" spans="1:8">
      <c r="A147" t="s">
        <v>14</v>
      </c>
      <c r="B147" t="s">
        <v>15</v>
      </c>
      <c r="C147" t="s">
        <v>16</v>
      </c>
      <c r="D147" s="4">
        <v>46008</v>
      </c>
      <c r="E147">
        <v>198.35</v>
      </c>
      <c r="F147">
        <v>52.07</v>
      </c>
      <c r="G147">
        <v>146.28</v>
      </c>
      <c r="H147" s="4"/>
    </row>
    <row r="148" spans="1:8">
      <c r="A148" t="s">
        <v>14</v>
      </c>
      <c r="B148" t="s">
        <v>15</v>
      </c>
      <c r="C148" t="s">
        <v>16</v>
      </c>
      <c r="D148" s="4">
        <v>46008</v>
      </c>
      <c r="E148">
        <v>88.1</v>
      </c>
      <c r="F148">
        <v>40</v>
      </c>
      <c r="G148">
        <v>48.1</v>
      </c>
      <c r="H148" s="4"/>
    </row>
    <row r="149" spans="1:8">
      <c r="A149" t="s">
        <v>14</v>
      </c>
      <c r="B149" t="s">
        <v>15</v>
      </c>
      <c r="C149" t="s">
        <v>16</v>
      </c>
      <c r="D149" s="4">
        <v>46008</v>
      </c>
      <c r="E149">
        <v>314.75</v>
      </c>
      <c r="F149">
        <v>40</v>
      </c>
      <c r="G149">
        <v>274.75</v>
      </c>
      <c r="H149" s="4"/>
    </row>
    <row r="150" spans="1:8">
      <c r="A150" t="s">
        <v>14</v>
      </c>
      <c r="B150" t="s">
        <v>15</v>
      </c>
      <c r="C150" t="s">
        <v>16</v>
      </c>
      <c r="D150" s="4">
        <v>46008</v>
      </c>
      <c r="E150">
        <v>336.1</v>
      </c>
      <c r="F150">
        <v>64.7</v>
      </c>
      <c r="G150">
        <v>271.39999999999998</v>
      </c>
      <c r="H150" s="4"/>
    </row>
    <row r="151" spans="1:8">
      <c r="A151" t="s">
        <v>14</v>
      </c>
      <c r="B151" t="s">
        <v>15</v>
      </c>
      <c r="C151" t="s">
        <v>16</v>
      </c>
      <c r="D151" s="4">
        <v>46008</v>
      </c>
      <c r="E151">
        <v>113.1</v>
      </c>
      <c r="F151">
        <v>40</v>
      </c>
      <c r="G151">
        <v>73.099999999999994</v>
      </c>
      <c r="H151" s="4"/>
    </row>
    <row r="152" spans="1:8">
      <c r="A152" t="s">
        <v>14</v>
      </c>
      <c r="B152" t="s">
        <v>15</v>
      </c>
      <c r="C152" t="s">
        <v>16</v>
      </c>
      <c r="D152" s="4">
        <v>46008</v>
      </c>
      <c r="E152">
        <v>231.85</v>
      </c>
      <c r="F152">
        <v>40</v>
      </c>
      <c r="G152">
        <v>191.85</v>
      </c>
      <c r="H152" s="4"/>
    </row>
    <row r="153" spans="1:8">
      <c r="A153" t="s">
        <v>14</v>
      </c>
      <c r="B153" t="s">
        <v>15</v>
      </c>
      <c r="C153" t="s">
        <v>16</v>
      </c>
      <c r="D153" s="4">
        <v>46008</v>
      </c>
      <c r="E153">
        <v>168.68</v>
      </c>
      <c r="F153">
        <v>40</v>
      </c>
      <c r="G153">
        <v>128.68</v>
      </c>
      <c r="H153" s="4"/>
    </row>
    <row r="154" spans="1:8">
      <c r="A154" t="s">
        <v>14</v>
      </c>
      <c r="B154" t="s">
        <v>15</v>
      </c>
      <c r="C154" t="s">
        <v>16</v>
      </c>
      <c r="D154" s="4">
        <v>46008</v>
      </c>
      <c r="E154">
        <v>653</v>
      </c>
      <c r="F154">
        <v>61.71</v>
      </c>
      <c r="G154">
        <v>591.29</v>
      </c>
      <c r="H154" s="4"/>
    </row>
    <row r="155" spans="1:8">
      <c r="A155" t="s">
        <v>14</v>
      </c>
      <c r="B155" t="s">
        <v>15</v>
      </c>
      <c r="C155" t="s">
        <v>16</v>
      </c>
      <c r="D155" s="4">
        <v>46008</v>
      </c>
      <c r="E155">
        <v>308.10000000000002</v>
      </c>
      <c r="F155">
        <v>59.31</v>
      </c>
      <c r="G155">
        <v>248.79</v>
      </c>
      <c r="H155" s="4"/>
    </row>
    <row r="156" spans="1:8">
      <c r="A156" t="s">
        <v>14</v>
      </c>
      <c r="B156" t="s">
        <v>15</v>
      </c>
      <c r="C156" t="s">
        <v>16</v>
      </c>
      <c r="D156" s="4">
        <v>46008</v>
      </c>
      <c r="E156">
        <v>188.1</v>
      </c>
      <c r="F156">
        <v>40</v>
      </c>
      <c r="G156">
        <v>148.1</v>
      </c>
      <c r="H156" s="4"/>
    </row>
    <row r="157" spans="1:8">
      <c r="A157" t="s">
        <v>14</v>
      </c>
      <c r="B157" t="s">
        <v>15</v>
      </c>
      <c r="C157" t="s">
        <v>16</v>
      </c>
      <c r="D157" s="4">
        <v>46008</v>
      </c>
      <c r="E157">
        <v>172.06</v>
      </c>
      <c r="F157">
        <v>40</v>
      </c>
      <c r="G157">
        <v>132.06</v>
      </c>
      <c r="H157" s="4"/>
    </row>
    <row r="158" spans="1:8">
      <c r="A158" t="s">
        <v>14</v>
      </c>
      <c r="B158" t="s">
        <v>15</v>
      </c>
      <c r="C158" t="s">
        <v>16</v>
      </c>
      <c r="D158" s="4">
        <v>46008</v>
      </c>
      <c r="E158">
        <v>243.35</v>
      </c>
      <c r="F158">
        <v>40</v>
      </c>
      <c r="G158">
        <v>203.35</v>
      </c>
      <c r="H158" s="4"/>
    </row>
    <row r="159" spans="1:8">
      <c r="A159" t="s">
        <v>14</v>
      </c>
      <c r="B159" t="s">
        <v>15</v>
      </c>
      <c r="C159" t="s">
        <v>16</v>
      </c>
      <c r="D159" s="4">
        <v>46008</v>
      </c>
      <c r="E159">
        <v>998.1</v>
      </c>
      <c r="F159">
        <v>167.68</v>
      </c>
      <c r="G159">
        <v>830.42</v>
      </c>
      <c r="H159" s="4"/>
    </row>
    <row r="160" spans="1:8">
      <c r="A160" t="s">
        <v>14</v>
      </c>
      <c r="B160" t="s">
        <v>15</v>
      </c>
      <c r="C160" t="s">
        <v>16</v>
      </c>
      <c r="D160" s="4">
        <v>46008</v>
      </c>
      <c r="E160">
        <v>180.6</v>
      </c>
      <c r="F160">
        <v>40</v>
      </c>
      <c r="G160">
        <v>140.6</v>
      </c>
      <c r="H160" s="4"/>
    </row>
    <row r="161" spans="1:8">
      <c r="A161" t="s">
        <v>14</v>
      </c>
      <c r="B161" t="s">
        <v>15</v>
      </c>
      <c r="C161" t="s">
        <v>16</v>
      </c>
      <c r="D161" s="4">
        <v>46008</v>
      </c>
      <c r="E161">
        <v>172.06</v>
      </c>
      <c r="F161">
        <v>40</v>
      </c>
      <c r="G161">
        <v>132.06</v>
      </c>
      <c r="H161" s="4"/>
    </row>
    <row r="162" spans="1:8">
      <c r="A162" t="s">
        <v>14</v>
      </c>
      <c r="B162" t="s">
        <v>15</v>
      </c>
      <c r="C162" t="s">
        <v>16</v>
      </c>
      <c r="D162" s="4">
        <v>46008</v>
      </c>
      <c r="E162">
        <v>188.1</v>
      </c>
      <c r="F162">
        <v>40</v>
      </c>
      <c r="G162">
        <v>148.1</v>
      </c>
      <c r="H162" s="4"/>
    </row>
    <row r="163" spans="1:8">
      <c r="A163" t="s">
        <v>14</v>
      </c>
      <c r="B163" t="s">
        <v>15</v>
      </c>
      <c r="C163" t="s">
        <v>16</v>
      </c>
      <c r="D163" s="4">
        <v>46008</v>
      </c>
      <c r="E163">
        <v>548.1</v>
      </c>
      <c r="F163">
        <v>49.88</v>
      </c>
      <c r="G163">
        <v>498.22</v>
      </c>
      <c r="H163" s="4"/>
    </row>
    <row r="164" spans="1:8">
      <c r="A164" t="s">
        <v>14</v>
      </c>
      <c r="B164" t="s">
        <v>15</v>
      </c>
      <c r="C164" t="s">
        <v>16</v>
      </c>
      <c r="D164" s="4">
        <v>46008</v>
      </c>
      <c r="E164">
        <v>98.1</v>
      </c>
      <c r="F164">
        <v>40</v>
      </c>
      <c r="G164">
        <v>58.1</v>
      </c>
      <c r="H164" s="4"/>
    </row>
    <row r="165" spans="1:8">
      <c r="A165" t="s">
        <v>14</v>
      </c>
      <c r="B165" t="s">
        <v>15</v>
      </c>
      <c r="C165" t="s">
        <v>16</v>
      </c>
      <c r="D165" s="4">
        <v>46008</v>
      </c>
      <c r="E165">
        <v>128.1</v>
      </c>
      <c r="F165">
        <v>40</v>
      </c>
      <c r="G165">
        <v>88.1</v>
      </c>
      <c r="H165" s="4"/>
    </row>
    <row r="166" spans="1:8">
      <c r="A166" t="s">
        <v>14</v>
      </c>
      <c r="B166" t="s">
        <v>15</v>
      </c>
      <c r="C166" t="s">
        <v>16</v>
      </c>
      <c r="D166" s="4">
        <v>46008</v>
      </c>
      <c r="E166">
        <v>128.1</v>
      </c>
      <c r="F166">
        <v>40</v>
      </c>
      <c r="G166">
        <v>88.1</v>
      </c>
      <c r="H166" s="4"/>
    </row>
    <row r="167" spans="1:8">
      <c r="A167" t="s">
        <v>14</v>
      </c>
      <c r="B167" t="s">
        <v>15</v>
      </c>
      <c r="C167" t="s">
        <v>16</v>
      </c>
      <c r="D167" s="4">
        <v>46008</v>
      </c>
      <c r="E167">
        <v>98.1</v>
      </c>
      <c r="F167">
        <v>40</v>
      </c>
      <c r="G167">
        <v>58.1</v>
      </c>
      <c r="H167" s="4"/>
    </row>
    <row r="168" spans="1:8">
      <c r="A168" t="s">
        <v>14</v>
      </c>
      <c r="B168" t="s">
        <v>15</v>
      </c>
      <c r="C168" t="s">
        <v>16</v>
      </c>
      <c r="D168" s="4">
        <v>46008</v>
      </c>
      <c r="E168">
        <v>797.01</v>
      </c>
      <c r="F168">
        <v>94.84</v>
      </c>
      <c r="G168">
        <v>702.17</v>
      </c>
      <c r="H168" s="4"/>
    </row>
    <row r="169" spans="1:8">
      <c r="A169" t="s">
        <v>14</v>
      </c>
      <c r="B169" t="s">
        <v>15</v>
      </c>
      <c r="C169" t="s">
        <v>16</v>
      </c>
      <c r="D169" s="4">
        <v>46008</v>
      </c>
      <c r="E169">
        <v>664.77</v>
      </c>
      <c r="F169">
        <v>116.33</v>
      </c>
      <c r="G169">
        <v>548.44000000000005</v>
      </c>
      <c r="H169" s="4"/>
    </row>
    <row r="170" spans="1:8">
      <c r="A170" t="s">
        <v>14</v>
      </c>
      <c r="B170" t="s">
        <v>15</v>
      </c>
      <c r="C170" t="s">
        <v>16</v>
      </c>
      <c r="D170" s="4">
        <v>46008</v>
      </c>
      <c r="E170">
        <v>105.6</v>
      </c>
      <c r="F170">
        <v>40</v>
      </c>
      <c r="G170">
        <v>65.599999999999994</v>
      </c>
      <c r="H170" s="4"/>
    </row>
    <row r="171" spans="1:8">
      <c r="A171" t="s">
        <v>14</v>
      </c>
      <c r="B171" t="s">
        <v>15</v>
      </c>
      <c r="C171" t="s">
        <v>16</v>
      </c>
      <c r="D171" s="4">
        <v>46008</v>
      </c>
      <c r="E171">
        <v>248.1</v>
      </c>
      <c r="F171">
        <v>52.97</v>
      </c>
      <c r="G171">
        <v>195.13</v>
      </c>
      <c r="H171" s="4"/>
    </row>
    <row r="172" spans="1:8">
      <c r="A172" t="s">
        <v>14</v>
      </c>
      <c r="B172" t="s">
        <v>15</v>
      </c>
      <c r="C172" t="s">
        <v>16</v>
      </c>
      <c r="D172" s="4">
        <v>46008</v>
      </c>
      <c r="E172">
        <v>443.1</v>
      </c>
      <c r="F172">
        <v>41.87</v>
      </c>
      <c r="G172">
        <v>401.23</v>
      </c>
      <c r="H172" s="4"/>
    </row>
    <row r="173" spans="1:8">
      <c r="A173" t="s">
        <v>14</v>
      </c>
      <c r="B173" t="s">
        <v>15</v>
      </c>
      <c r="C173" t="s">
        <v>16</v>
      </c>
      <c r="D173" s="4">
        <v>46008</v>
      </c>
      <c r="E173">
        <v>193.1</v>
      </c>
      <c r="F173">
        <v>40</v>
      </c>
      <c r="G173">
        <v>153.1</v>
      </c>
      <c r="H173" s="4"/>
    </row>
    <row r="174" spans="1:8">
      <c r="A174" t="s">
        <v>14</v>
      </c>
      <c r="B174" t="s">
        <v>15</v>
      </c>
      <c r="C174" t="s">
        <v>16</v>
      </c>
      <c r="D174" s="4">
        <v>46008</v>
      </c>
      <c r="E174">
        <v>624.52</v>
      </c>
      <c r="F174">
        <v>153.01</v>
      </c>
      <c r="G174">
        <v>471.51</v>
      </c>
      <c r="H174" s="4"/>
    </row>
    <row r="175" spans="1:8">
      <c r="A175" t="s">
        <v>14</v>
      </c>
      <c r="B175" t="s">
        <v>15</v>
      </c>
      <c r="C175" t="s">
        <v>16</v>
      </c>
      <c r="D175" s="4">
        <v>46008</v>
      </c>
      <c r="E175">
        <v>131.02000000000001</v>
      </c>
      <c r="F175">
        <v>40</v>
      </c>
      <c r="G175">
        <v>91.02</v>
      </c>
      <c r="H175" s="4"/>
    </row>
    <row r="176" spans="1:8">
      <c r="A176" t="s">
        <v>14</v>
      </c>
      <c r="B176" t="s">
        <v>15</v>
      </c>
      <c r="C176" t="s">
        <v>16</v>
      </c>
      <c r="D176" s="4">
        <v>46008</v>
      </c>
      <c r="E176">
        <v>508.39</v>
      </c>
      <c r="F176">
        <v>97.87</v>
      </c>
      <c r="G176">
        <v>410.52</v>
      </c>
      <c r="H176" s="4"/>
    </row>
    <row r="177" spans="1:8">
      <c r="A177" t="s">
        <v>14</v>
      </c>
      <c r="B177" t="s">
        <v>15</v>
      </c>
      <c r="C177" t="s">
        <v>16</v>
      </c>
      <c r="D177" s="4">
        <v>46008</v>
      </c>
      <c r="E177">
        <v>624.52</v>
      </c>
      <c r="F177">
        <v>87.43</v>
      </c>
      <c r="G177">
        <v>537.09</v>
      </c>
      <c r="H177" s="4"/>
    </row>
    <row r="178" spans="1:8">
      <c r="A178" t="s">
        <v>14</v>
      </c>
      <c r="B178" t="s">
        <v>15</v>
      </c>
      <c r="C178" t="s">
        <v>16</v>
      </c>
      <c r="D178" s="4">
        <v>46008</v>
      </c>
      <c r="E178">
        <v>235.6</v>
      </c>
      <c r="F178">
        <v>40</v>
      </c>
      <c r="G178">
        <v>195.6</v>
      </c>
      <c r="H178" s="4"/>
    </row>
    <row r="179" spans="1:8">
      <c r="A179" t="s">
        <v>14</v>
      </c>
      <c r="B179" t="s">
        <v>15</v>
      </c>
      <c r="C179" t="s">
        <v>16</v>
      </c>
      <c r="D179" s="4">
        <v>46008</v>
      </c>
      <c r="E179">
        <v>376.27</v>
      </c>
      <c r="F179">
        <v>40</v>
      </c>
      <c r="G179">
        <v>336.27</v>
      </c>
      <c r="H179" s="4"/>
    </row>
    <row r="180" spans="1:8">
      <c r="A180" t="s">
        <v>14</v>
      </c>
      <c r="B180" t="s">
        <v>15</v>
      </c>
      <c r="C180" t="s">
        <v>16</v>
      </c>
      <c r="D180" s="4">
        <v>46008</v>
      </c>
      <c r="E180">
        <v>198.1</v>
      </c>
      <c r="F180">
        <v>40</v>
      </c>
      <c r="G180">
        <v>158.1</v>
      </c>
      <c r="H180" s="4"/>
    </row>
    <row r="181" spans="1:8">
      <c r="A181" t="s">
        <v>14</v>
      </c>
      <c r="B181" t="s">
        <v>15</v>
      </c>
      <c r="C181" t="s">
        <v>16</v>
      </c>
      <c r="D181" s="4">
        <v>46008</v>
      </c>
      <c r="E181">
        <v>548.1</v>
      </c>
      <c r="F181">
        <v>105.51</v>
      </c>
      <c r="G181">
        <v>442.59</v>
      </c>
      <c r="H181" s="4"/>
    </row>
    <row r="182" spans="1:8">
      <c r="A182" t="s">
        <v>14</v>
      </c>
      <c r="B182" t="s">
        <v>15</v>
      </c>
      <c r="C182" t="s">
        <v>16</v>
      </c>
      <c r="D182" s="4">
        <v>46008</v>
      </c>
      <c r="E182">
        <v>188.1</v>
      </c>
      <c r="F182">
        <v>47.4</v>
      </c>
      <c r="G182">
        <v>140.69999999999999</v>
      </c>
      <c r="H182" s="4"/>
    </row>
    <row r="183" spans="1:8">
      <c r="A183" t="s">
        <v>14</v>
      </c>
      <c r="B183" t="s">
        <v>15</v>
      </c>
      <c r="C183" t="s">
        <v>16</v>
      </c>
      <c r="D183" s="4">
        <v>46008</v>
      </c>
      <c r="E183">
        <v>128.1</v>
      </c>
      <c r="F183">
        <v>40</v>
      </c>
      <c r="G183">
        <v>88.1</v>
      </c>
      <c r="H183" s="4"/>
    </row>
    <row r="184" spans="1:8">
      <c r="A184" t="s">
        <v>14</v>
      </c>
      <c r="B184" t="s">
        <v>15</v>
      </c>
      <c r="C184" t="s">
        <v>16</v>
      </c>
      <c r="D184" s="4">
        <v>46008</v>
      </c>
      <c r="E184">
        <v>158.1</v>
      </c>
      <c r="F184">
        <v>40</v>
      </c>
      <c r="G184">
        <v>118.1</v>
      </c>
      <c r="H184" s="4"/>
    </row>
    <row r="185" spans="1:8">
      <c r="A185" t="s">
        <v>14</v>
      </c>
      <c r="B185" t="s">
        <v>15</v>
      </c>
      <c r="C185" t="s">
        <v>16</v>
      </c>
      <c r="D185" s="4">
        <v>46008</v>
      </c>
      <c r="E185">
        <v>295.10000000000002</v>
      </c>
      <c r="F185">
        <v>45.45</v>
      </c>
      <c r="G185">
        <v>249.65</v>
      </c>
      <c r="H185" s="4"/>
    </row>
    <row r="186" spans="1:8">
      <c r="A186" t="s">
        <v>14</v>
      </c>
      <c r="B186" t="s">
        <v>15</v>
      </c>
      <c r="C186" t="s">
        <v>16</v>
      </c>
      <c r="D186" s="4">
        <v>46008</v>
      </c>
      <c r="E186">
        <v>180.7</v>
      </c>
      <c r="F186">
        <v>40</v>
      </c>
      <c r="G186">
        <v>140.69999999999999</v>
      </c>
      <c r="H186" s="4"/>
    </row>
    <row r="187" spans="1:8">
      <c r="A187" t="s">
        <v>14</v>
      </c>
      <c r="B187" t="s">
        <v>15</v>
      </c>
      <c r="C187" t="s">
        <v>16</v>
      </c>
      <c r="D187" s="4">
        <v>46008</v>
      </c>
      <c r="E187">
        <v>188.1</v>
      </c>
      <c r="F187">
        <v>40</v>
      </c>
      <c r="G187">
        <v>148.1</v>
      </c>
      <c r="H187" s="4"/>
    </row>
    <row r="188" spans="1:8">
      <c r="A188" t="s">
        <v>14</v>
      </c>
      <c r="B188" t="s">
        <v>15</v>
      </c>
      <c r="C188" t="s">
        <v>16</v>
      </c>
      <c r="D188" s="4">
        <v>46008</v>
      </c>
      <c r="E188">
        <v>549.35</v>
      </c>
      <c r="F188">
        <v>90.37</v>
      </c>
      <c r="G188">
        <v>458.98</v>
      </c>
      <c r="H188" s="4"/>
    </row>
    <row r="189" spans="1:8">
      <c r="A189" t="s">
        <v>14</v>
      </c>
      <c r="B189" t="s">
        <v>15</v>
      </c>
      <c r="C189" t="s">
        <v>16</v>
      </c>
      <c r="D189" s="4">
        <v>46008</v>
      </c>
      <c r="E189">
        <v>108.1</v>
      </c>
      <c r="F189">
        <v>40</v>
      </c>
      <c r="G189">
        <v>68.099999999999994</v>
      </c>
      <c r="H189" s="4"/>
    </row>
    <row r="190" spans="1:8">
      <c r="A190" t="s">
        <v>14</v>
      </c>
      <c r="B190" t="s">
        <v>15</v>
      </c>
      <c r="C190" t="s">
        <v>16</v>
      </c>
      <c r="D190" s="4">
        <v>46008</v>
      </c>
      <c r="E190">
        <v>310.76</v>
      </c>
      <c r="F190">
        <v>59.82</v>
      </c>
      <c r="G190">
        <v>250.94</v>
      </c>
      <c r="H190" s="4"/>
    </row>
    <row r="191" spans="1:8">
      <c r="A191" t="s">
        <v>14</v>
      </c>
      <c r="B191" t="s">
        <v>15</v>
      </c>
      <c r="C191" t="s">
        <v>16</v>
      </c>
      <c r="D191" s="4">
        <v>46008</v>
      </c>
      <c r="E191">
        <v>105.6</v>
      </c>
      <c r="F191">
        <v>40</v>
      </c>
      <c r="G191">
        <v>65.599999999999994</v>
      </c>
      <c r="H191" s="4"/>
    </row>
    <row r="192" spans="1:8">
      <c r="A192" t="s">
        <v>14</v>
      </c>
      <c r="B192" t="s">
        <v>15</v>
      </c>
      <c r="C192" t="s">
        <v>16</v>
      </c>
      <c r="D192" s="4">
        <v>46008</v>
      </c>
      <c r="E192">
        <v>1378.75</v>
      </c>
      <c r="F192">
        <v>260.58</v>
      </c>
      <c r="G192">
        <v>1118.17</v>
      </c>
      <c r="H192" s="4"/>
    </row>
    <row r="193" spans="1:8">
      <c r="A193" t="s">
        <v>14</v>
      </c>
      <c r="B193" t="s">
        <v>15</v>
      </c>
      <c r="C193" t="s">
        <v>16</v>
      </c>
      <c r="D193" s="4">
        <v>46008</v>
      </c>
      <c r="E193">
        <v>153.85</v>
      </c>
      <c r="F193">
        <v>40</v>
      </c>
      <c r="G193">
        <v>113.85</v>
      </c>
      <c r="H193" s="4"/>
    </row>
    <row r="194" spans="1:8">
      <c r="A194" t="s">
        <v>14</v>
      </c>
      <c r="B194" t="s">
        <v>15</v>
      </c>
      <c r="C194" t="s">
        <v>16</v>
      </c>
      <c r="D194" s="4">
        <v>46008</v>
      </c>
      <c r="E194">
        <v>286.10000000000002</v>
      </c>
      <c r="F194">
        <v>40</v>
      </c>
      <c r="G194">
        <v>246.1</v>
      </c>
      <c r="H194" s="4"/>
    </row>
    <row r="195" spans="1:8">
      <c r="A195" t="s">
        <v>14</v>
      </c>
      <c r="B195" t="s">
        <v>15</v>
      </c>
      <c r="C195" t="s">
        <v>16</v>
      </c>
      <c r="D195" s="4">
        <v>46008</v>
      </c>
      <c r="E195">
        <v>188.1</v>
      </c>
      <c r="F195">
        <v>40</v>
      </c>
      <c r="G195">
        <v>148.1</v>
      </c>
      <c r="H195" s="4"/>
    </row>
    <row r="196" spans="1:8">
      <c r="A196" t="s">
        <v>14</v>
      </c>
      <c r="B196" t="s">
        <v>15</v>
      </c>
      <c r="C196" t="s">
        <v>16</v>
      </c>
      <c r="D196" s="4">
        <v>46008</v>
      </c>
      <c r="E196">
        <v>135.6</v>
      </c>
      <c r="F196">
        <v>40</v>
      </c>
      <c r="G196">
        <v>95.6</v>
      </c>
      <c r="H196" s="4"/>
    </row>
    <row r="197" spans="1:8">
      <c r="A197" t="s">
        <v>14</v>
      </c>
      <c r="B197" t="s">
        <v>15</v>
      </c>
      <c r="C197" t="s">
        <v>16</v>
      </c>
      <c r="D197" s="4">
        <v>46008</v>
      </c>
      <c r="E197">
        <v>108.1</v>
      </c>
      <c r="F197">
        <v>40</v>
      </c>
      <c r="G197">
        <v>68.099999999999994</v>
      </c>
      <c r="H197" s="4"/>
    </row>
    <row r="198" spans="1:8">
      <c r="A198" t="s">
        <v>14</v>
      </c>
      <c r="B198" t="s">
        <v>15</v>
      </c>
      <c r="C198" t="s">
        <v>16</v>
      </c>
      <c r="D198" s="4">
        <v>46008</v>
      </c>
      <c r="E198">
        <v>568.1</v>
      </c>
      <c r="F198">
        <v>99.42</v>
      </c>
      <c r="G198">
        <v>468.68</v>
      </c>
      <c r="H198" s="4"/>
    </row>
    <row r="199" spans="1:8">
      <c r="A199" t="s">
        <v>14</v>
      </c>
      <c r="B199" t="s">
        <v>15</v>
      </c>
      <c r="C199" t="s">
        <v>16</v>
      </c>
      <c r="D199" s="4">
        <v>46008</v>
      </c>
      <c r="E199">
        <v>188.1</v>
      </c>
      <c r="F199">
        <v>40.159999999999997</v>
      </c>
      <c r="G199">
        <v>147.94</v>
      </c>
      <c r="H199" s="4"/>
    </row>
    <row r="200" spans="1:8">
      <c r="A200" t="s">
        <v>14</v>
      </c>
      <c r="B200" t="s">
        <v>15</v>
      </c>
      <c r="C200" t="s">
        <v>16</v>
      </c>
      <c r="D200" s="4">
        <v>46008</v>
      </c>
      <c r="E200">
        <v>105.6</v>
      </c>
      <c r="F200">
        <v>40</v>
      </c>
      <c r="G200">
        <v>65.599999999999994</v>
      </c>
      <c r="H200" s="4"/>
    </row>
    <row r="201" spans="1:8">
      <c r="A201" t="s">
        <v>14</v>
      </c>
      <c r="B201" t="s">
        <v>15</v>
      </c>
      <c r="C201" t="s">
        <v>16</v>
      </c>
      <c r="D201" s="4">
        <v>46008</v>
      </c>
      <c r="E201">
        <v>180.6</v>
      </c>
      <c r="F201">
        <v>40</v>
      </c>
      <c r="G201">
        <v>140.6</v>
      </c>
      <c r="H201" s="4"/>
    </row>
    <row r="202" spans="1:8">
      <c r="A202" t="s">
        <v>14</v>
      </c>
      <c r="B202" t="s">
        <v>15</v>
      </c>
      <c r="C202" t="s">
        <v>16</v>
      </c>
      <c r="D202" s="4">
        <v>46008</v>
      </c>
      <c r="E202">
        <v>202.39</v>
      </c>
      <c r="F202">
        <v>40</v>
      </c>
      <c r="G202">
        <v>162.38999999999999</v>
      </c>
      <c r="H202" s="4"/>
    </row>
    <row r="203" spans="1:8">
      <c r="A203" t="s">
        <v>14</v>
      </c>
      <c r="B203" t="s">
        <v>15</v>
      </c>
      <c r="C203" t="s">
        <v>16</v>
      </c>
      <c r="D203" s="4">
        <v>46008</v>
      </c>
      <c r="E203">
        <v>235.6</v>
      </c>
      <c r="F203">
        <v>56.9</v>
      </c>
      <c r="G203">
        <v>178.7</v>
      </c>
      <c r="H203" s="4"/>
    </row>
    <row r="204" spans="1:8">
      <c r="A204" t="s">
        <v>14</v>
      </c>
      <c r="B204" t="s">
        <v>15</v>
      </c>
      <c r="C204" t="s">
        <v>16</v>
      </c>
      <c r="D204" s="4">
        <v>46008</v>
      </c>
      <c r="E204">
        <v>231.85</v>
      </c>
      <c r="F204">
        <v>60.86</v>
      </c>
      <c r="G204">
        <v>170.99</v>
      </c>
      <c r="H204" s="4"/>
    </row>
    <row r="205" spans="1:8">
      <c r="A205" t="s">
        <v>14</v>
      </c>
      <c r="B205" t="s">
        <v>15</v>
      </c>
      <c r="C205" t="s">
        <v>16</v>
      </c>
      <c r="D205" s="4">
        <v>46008</v>
      </c>
      <c r="E205">
        <v>508.53</v>
      </c>
      <c r="F205">
        <v>46.28</v>
      </c>
      <c r="G205">
        <v>462.25</v>
      </c>
      <c r="H205" s="4"/>
    </row>
    <row r="206" spans="1:8">
      <c r="A206" t="s">
        <v>14</v>
      </c>
      <c r="B206" t="s">
        <v>15</v>
      </c>
      <c r="C206" t="s">
        <v>16</v>
      </c>
      <c r="D206" s="4">
        <v>46008</v>
      </c>
      <c r="E206">
        <v>188.1</v>
      </c>
      <c r="F206">
        <v>40</v>
      </c>
      <c r="G206">
        <v>148.1</v>
      </c>
      <c r="H206" s="4"/>
    </row>
    <row r="207" spans="1:8">
      <c r="A207" t="s">
        <v>14</v>
      </c>
      <c r="B207" t="s">
        <v>15</v>
      </c>
      <c r="C207" t="s">
        <v>16</v>
      </c>
      <c r="D207" s="4">
        <v>46008</v>
      </c>
      <c r="E207">
        <v>202.39</v>
      </c>
      <c r="F207">
        <v>43.21</v>
      </c>
      <c r="G207">
        <v>159.18</v>
      </c>
      <c r="H207" s="4"/>
    </row>
    <row r="208" spans="1:8">
      <c r="A208" t="s">
        <v>14</v>
      </c>
      <c r="B208" t="s">
        <v>15</v>
      </c>
      <c r="C208" t="s">
        <v>16</v>
      </c>
      <c r="D208" s="4">
        <v>46008</v>
      </c>
      <c r="E208">
        <v>164.77</v>
      </c>
      <c r="F208">
        <v>40</v>
      </c>
      <c r="G208">
        <v>124.77</v>
      </c>
      <c r="H208" s="4"/>
    </row>
    <row r="209" spans="1:8">
      <c r="A209" t="s">
        <v>14</v>
      </c>
      <c r="B209" t="s">
        <v>15</v>
      </c>
      <c r="C209" t="s">
        <v>16</v>
      </c>
      <c r="D209" s="4">
        <v>46008</v>
      </c>
      <c r="E209">
        <v>1998.1</v>
      </c>
      <c r="F209">
        <v>230.78</v>
      </c>
      <c r="G209">
        <v>1767.32</v>
      </c>
      <c r="H209" s="4"/>
    </row>
    <row r="210" spans="1:8">
      <c r="A210" t="s">
        <v>14</v>
      </c>
      <c r="B210" t="s">
        <v>15</v>
      </c>
      <c r="C210" t="s">
        <v>16</v>
      </c>
      <c r="D210" s="4">
        <v>46008</v>
      </c>
      <c r="E210">
        <v>498.1</v>
      </c>
      <c r="F210">
        <v>122.03</v>
      </c>
      <c r="G210">
        <v>376.07</v>
      </c>
      <c r="H210" s="4"/>
    </row>
    <row r="211" spans="1:8">
      <c r="A211" t="s">
        <v>14</v>
      </c>
      <c r="B211" t="s">
        <v>15</v>
      </c>
      <c r="C211" t="s">
        <v>16</v>
      </c>
      <c r="D211" s="4">
        <v>46008</v>
      </c>
      <c r="E211">
        <v>188.1</v>
      </c>
      <c r="F211">
        <v>40</v>
      </c>
      <c r="G211">
        <v>148.1</v>
      </c>
      <c r="H211" s="4"/>
    </row>
    <row r="212" spans="1:8">
      <c r="A212" t="s">
        <v>14</v>
      </c>
      <c r="B212" t="s">
        <v>15</v>
      </c>
      <c r="C212" t="s">
        <v>16</v>
      </c>
      <c r="D212" s="4">
        <v>46008</v>
      </c>
      <c r="E212">
        <v>98.1</v>
      </c>
      <c r="F212">
        <v>40</v>
      </c>
      <c r="G212">
        <v>58.1</v>
      </c>
      <c r="H212" s="4"/>
    </row>
    <row r="213" spans="1:8">
      <c r="A213" t="s">
        <v>14</v>
      </c>
      <c r="B213" t="s">
        <v>15</v>
      </c>
      <c r="C213" t="s">
        <v>16</v>
      </c>
      <c r="D213" s="4">
        <v>46008</v>
      </c>
      <c r="E213">
        <v>398.1</v>
      </c>
      <c r="F213">
        <v>40</v>
      </c>
      <c r="G213">
        <v>358.1</v>
      </c>
      <c r="H213" s="4"/>
    </row>
    <row r="214" spans="1:8">
      <c r="A214" t="s">
        <v>14</v>
      </c>
      <c r="B214" t="s">
        <v>15</v>
      </c>
      <c r="C214" t="s">
        <v>16</v>
      </c>
      <c r="D214" s="4">
        <v>46008</v>
      </c>
      <c r="E214">
        <v>164.77</v>
      </c>
      <c r="F214">
        <v>40</v>
      </c>
      <c r="G214">
        <v>124.77</v>
      </c>
      <c r="H214" s="4"/>
    </row>
    <row r="215" spans="1:8">
      <c r="A215" t="s">
        <v>14</v>
      </c>
      <c r="B215" t="s">
        <v>15</v>
      </c>
      <c r="C215" t="s">
        <v>16</v>
      </c>
      <c r="D215" s="4">
        <v>46008</v>
      </c>
      <c r="E215">
        <v>188.1</v>
      </c>
      <c r="F215">
        <v>40</v>
      </c>
      <c r="G215">
        <v>148.1</v>
      </c>
      <c r="H215" s="4"/>
    </row>
    <row r="216" spans="1:8">
      <c r="A216" t="s">
        <v>14</v>
      </c>
      <c r="B216" t="s">
        <v>15</v>
      </c>
      <c r="C216" t="s">
        <v>16</v>
      </c>
      <c r="D216" s="4">
        <v>46008</v>
      </c>
      <c r="E216">
        <v>390.1</v>
      </c>
      <c r="F216">
        <v>68.27</v>
      </c>
      <c r="G216">
        <v>321.83</v>
      </c>
      <c r="H216" s="4"/>
    </row>
    <row r="217" spans="1:8">
      <c r="A217" t="s">
        <v>14</v>
      </c>
      <c r="B217" t="s">
        <v>15</v>
      </c>
      <c r="C217" t="s">
        <v>16</v>
      </c>
      <c r="D217" s="4">
        <v>46008</v>
      </c>
      <c r="E217">
        <v>198.1</v>
      </c>
      <c r="F217">
        <v>40</v>
      </c>
      <c r="G217">
        <v>158.1</v>
      </c>
      <c r="H217" s="4"/>
    </row>
    <row r="218" spans="1:8">
      <c r="A218" t="s">
        <v>14</v>
      </c>
      <c r="B218" t="s">
        <v>15</v>
      </c>
      <c r="C218" t="s">
        <v>16</v>
      </c>
      <c r="D218" s="4">
        <v>46008</v>
      </c>
      <c r="E218">
        <v>563.1</v>
      </c>
      <c r="F218">
        <v>108.4</v>
      </c>
      <c r="G218">
        <v>454.7</v>
      </c>
      <c r="H218" s="4"/>
    </row>
    <row r="219" spans="1:8">
      <c r="A219" t="s">
        <v>14</v>
      </c>
      <c r="B219" t="s">
        <v>15</v>
      </c>
      <c r="C219" t="s">
        <v>16</v>
      </c>
      <c r="D219" s="4">
        <v>46008</v>
      </c>
      <c r="E219">
        <v>198.35</v>
      </c>
      <c r="F219">
        <v>40</v>
      </c>
      <c r="G219">
        <v>158.35</v>
      </c>
      <c r="H219" s="4"/>
    </row>
    <row r="220" spans="1:8">
      <c r="A220" t="s">
        <v>14</v>
      </c>
      <c r="B220" t="s">
        <v>15</v>
      </c>
      <c r="C220" t="s">
        <v>16</v>
      </c>
      <c r="D220" s="4">
        <v>46008</v>
      </c>
      <c r="E220">
        <v>200.77</v>
      </c>
      <c r="F220">
        <v>40</v>
      </c>
      <c r="G220">
        <v>160.77000000000001</v>
      </c>
      <c r="H220" s="4"/>
    </row>
    <row r="221" spans="1:8">
      <c r="A221" t="s">
        <v>14</v>
      </c>
      <c r="B221" t="s">
        <v>15</v>
      </c>
      <c r="C221" t="s">
        <v>16</v>
      </c>
      <c r="D221" s="4">
        <v>46008</v>
      </c>
      <c r="E221">
        <v>201.46</v>
      </c>
      <c r="F221">
        <v>52.88</v>
      </c>
      <c r="G221">
        <v>148.58000000000001</v>
      </c>
      <c r="H221" s="4"/>
    </row>
    <row r="222" spans="1:8">
      <c r="A222" t="s">
        <v>14</v>
      </c>
      <c r="B222" t="s">
        <v>15</v>
      </c>
      <c r="C222" t="s">
        <v>16</v>
      </c>
      <c r="D222" s="4">
        <v>46008</v>
      </c>
      <c r="E222">
        <v>337.54</v>
      </c>
      <c r="F222">
        <v>64.98</v>
      </c>
      <c r="G222">
        <v>272.56</v>
      </c>
      <c r="H222" s="4"/>
    </row>
    <row r="223" spans="1:8">
      <c r="A223" t="s">
        <v>14</v>
      </c>
      <c r="B223" t="s">
        <v>15</v>
      </c>
      <c r="C223" t="s">
        <v>16</v>
      </c>
      <c r="D223" s="4">
        <v>46008</v>
      </c>
      <c r="E223">
        <v>188.1</v>
      </c>
      <c r="F223">
        <v>40</v>
      </c>
      <c r="G223">
        <v>148.1</v>
      </c>
      <c r="H223" s="4"/>
    </row>
    <row r="224" spans="1:8">
      <c r="A224" t="s">
        <v>14</v>
      </c>
      <c r="B224" t="s">
        <v>15</v>
      </c>
      <c r="C224" t="s">
        <v>16</v>
      </c>
      <c r="D224" s="4">
        <v>46008</v>
      </c>
      <c r="E224">
        <v>188.1</v>
      </c>
      <c r="F224">
        <v>40</v>
      </c>
      <c r="G224">
        <v>148.1</v>
      </c>
      <c r="H224" s="4"/>
    </row>
    <row r="225" spans="1:8">
      <c r="A225" t="s">
        <v>14</v>
      </c>
      <c r="B225" t="s">
        <v>15</v>
      </c>
      <c r="C225" t="s">
        <v>16</v>
      </c>
      <c r="D225" s="4">
        <v>46008</v>
      </c>
      <c r="E225">
        <v>451.48</v>
      </c>
      <c r="F225">
        <v>85.33</v>
      </c>
      <c r="G225">
        <v>366.15</v>
      </c>
      <c r="H225" s="4"/>
    </row>
    <row r="226" spans="1:8">
      <c r="A226" t="s">
        <v>14</v>
      </c>
      <c r="B226" t="s">
        <v>15</v>
      </c>
      <c r="C226" t="s">
        <v>16</v>
      </c>
      <c r="D226" s="4">
        <v>46008</v>
      </c>
      <c r="E226">
        <v>310.76</v>
      </c>
      <c r="F226">
        <v>40</v>
      </c>
      <c r="G226">
        <v>270.76</v>
      </c>
      <c r="H226" s="4"/>
    </row>
    <row r="227" spans="1:8">
      <c r="A227" t="s">
        <v>17</v>
      </c>
      <c r="B227" t="s">
        <v>18</v>
      </c>
      <c r="C227" t="s">
        <v>19</v>
      </c>
      <c r="D227" s="4">
        <v>46003</v>
      </c>
      <c r="E227">
        <v>998.1</v>
      </c>
      <c r="F227">
        <v>60.6</v>
      </c>
      <c r="G227">
        <v>937.5</v>
      </c>
      <c r="H227" s="4"/>
    </row>
    <row r="228" spans="1:8">
      <c r="A228" t="s">
        <v>17</v>
      </c>
      <c r="B228" t="s">
        <v>18</v>
      </c>
      <c r="C228" t="s">
        <v>19</v>
      </c>
      <c r="D228" s="4">
        <v>46003</v>
      </c>
      <c r="E228">
        <v>787.57</v>
      </c>
      <c r="F228">
        <v>52.17</v>
      </c>
      <c r="G228">
        <v>735.4</v>
      </c>
      <c r="H228" s="4"/>
    </row>
    <row r="229" spans="1:8">
      <c r="A229" t="s">
        <v>17</v>
      </c>
      <c r="B229" t="s">
        <v>18</v>
      </c>
      <c r="C229" t="s">
        <v>19</v>
      </c>
      <c r="D229" s="4">
        <v>46003</v>
      </c>
      <c r="E229">
        <v>319.89999999999998</v>
      </c>
      <c r="F229">
        <v>35</v>
      </c>
      <c r="G229">
        <v>284.89999999999998</v>
      </c>
      <c r="H229" s="4"/>
    </row>
    <row r="230" spans="1:8">
      <c r="A230" t="s">
        <v>17</v>
      </c>
      <c r="B230" t="s">
        <v>18</v>
      </c>
      <c r="C230" t="s">
        <v>19</v>
      </c>
      <c r="D230" s="4">
        <v>46003</v>
      </c>
      <c r="E230">
        <v>298.10000000000002</v>
      </c>
      <c r="F230">
        <v>35</v>
      </c>
      <c r="G230">
        <v>263.10000000000002</v>
      </c>
      <c r="H230" s="4"/>
    </row>
    <row r="231" spans="1:8">
      <c r="A231" t="s">
        <v>17</v>
      </c>
      <c r="B231" t="s">
        <v>18</v>
      </c>
      <c r="C231" t="s">
        <v>19</v>
      </c>
      <c r="D231" s="4">
        <v>46003</v>
      </c>
      <c r="E231">
        <v>231.23</v>
      </c>
      <c r="F231">
        <v>35</v>
      </c>
      <c r="G231">
        <v>196.23</v>
      </c>
      <c r="H231" s="4"/>
    </row>
    <row r="232" spans="1:8">
      <c r="A232" t="s">
        <v>17</v>
      </c>
      <c r="B232" t="s">
        <v>18</v>
      </c>
      <c r="C232" t="s">
        <v>19</v>
      </c>
      <c r="D232" s="4">
        <v>46003</v>
      </c>
      <c r="E232">
        <v>2435.6</v>
      </c>
      <c r="F232">
        <v>161.33000000000001</v>
      </c>
      <c r="G232">
        <v>2274.27</v>
      </c>
      <c r="H232" s="4"/>
    </row>
    <row r="233" spans="1:8">
      <c r="A233" t="s">
        <v>17</v>
      </c>
      <c r="B233" t="s">
        <v>18</v>
      </c>
      <c r="C233" t="s">
        <v>19</v>
      </c>
      <c r="D233" s="4">
        <v>46003</v>
      </c>
      <c r="E233">
        <v>329.53</v>
      </c>
      <c r="F233">
        <v>35</v>
      </c>
      <c r="G233">
        <v>294.52999999999997</v>
      </c>
      <c r="H233" s="4"/>
    </row>
    <row r="234" spans="1:8">
      <c r="A234" t="s">
        <v>17</v>
      </c>
      <c r="B234" t="s">
        <v>18</v>
      </c>
      <c r="C234" t="s">
        <v>19</v>
      </c>
      <c r="D234" s="4">
        <v>46003</v>
      </c>
      <c r="E234">
        <v>819.15</v>
      </c>
      <c r="F234">
        <v>54.26</v>
      </c>
      <c r="G234">
        <v>764.89</v>
      </c>
      <c r="H234" s="4"/>
    </row>
    <row r="235" spans="1:8">
      <c r="A235" t="s">
        <v>17</v>
      </c>
      <c r="B235" t="s">
        <v>18</v>
      </c>
      <c r="C235" t="s">
        <v>19</v>
      </c>
      <c r="D235" s="4">
        <v>46003</v>
      </c>
      <c r="E235">
        <v>538.1</v>
      </c>
      <c r="F235">
        <v>35</v>
      </c>
      <c r="G235">
        <v>503.1</v>
      </c>
      <c r="H235" s="4"/>
    </row>
    <row r="236" spans="1:8">
      <c r="A236" t="s">
        <v>17</v>
      </c>
      <c r="B236" t="s">
        <v>18</v>
      </c>
      <c r="C236" t="s">
        <v>19</v>
      </c>
      <c r="D236" s="4">
        <v>46003</v>
      </c>
      <c r="E236">
        <v>1831.43</v>
      </c>
      <c r="F236">
        <v>121.31</v>
      </c>
      <c r="G236">
        <v>1710.12</v>
      </c>
      <c r="H236" s="4"/>
    </row>
    <row r="237" spans="1:8">
      <c r="A237" t="s">
        <v>17</v>
      </c>
      <c r="B237" t="s">
        <v>18</v>
      </c>
      <c r="C237" t="s">
        <v>19</v>
      </c>
      <c r="D237" s="4">
        <v>46003</v>
      </c>
      <c r="E237">
        <v>98.1</v>
      </c>
      <c r="F237">
        <v>35</v>
      </c>
      <c r="G237">
        <v>63.1</v>
      </c>
      <c r="H237" s="4"/>
    </row>
    <row r="238" spans="1:8">
      <c r="A238" t="s">
        <v>17</v>
      </c>
      <c r="B238" t="s">
        <v>18</v>
      </c>
      <c r="C238" t="s">
        <v>19</v>
      </c>
      <c r="D238" s="4">
        <v>46003</v>
      </c>
      <c r="E238">
        <v>749.48</v>
      </c>
      <c r="F238">
        <v>49.65</v>
      </c>
      <c r="G238">
        <v>699.83</v>
      </c>
      <c r="H238" s="4"/>
    </row>
    <row r="239" spans="1:8">
      <c r="A239" t="s">
        <v>17</v>
      </c>
      <c r="B239" t="s">
        <v>18</v>
      </c>
      <c r="C239" t="s">
        <v>19</v>
      </c>
      <c r="D239" s="4">
        <v>46003</v>
      </c>
      <c r="E239">
        <v>314.77</v>
      </c>
      <c r="F239">
        <v>35</v>
      </c>
      <c r="G239">
        <v>279.77</v>
      </c>
      <c r="H239" s="4"/>
    </row>
    <row r="240" spans="1:8">
      <c r="A240" t="s">
        <v>17</v>
      </c>
      <c r="B240" t="s">
        <v>18</v>
      </c>
      <c r="C240" t="s">
        <v>19</v>
      </c>
      <c r="D240" s="4">
        <v>46003</v>
      </c>
      <c r="E240">
        <v>613.1</v>
      </c>
      <c r="F240">
        <v>40.61</v>
      </c>
      <c r="G240">
        <v>572.49</v>
      </c>
      <c r="H240" s="4"/>
    </row>
    <row r="241" spans="1:8">
      <c r="A241" t="s">
        <v>17</v>
      </c>
      <c r="B241" t="s">
        <v>18</v>
      </c>
      <c r="C241" t="s">
        <v>19</v>
      </c>
      <c r="D241" s="4">
        <v>46003</v>
      </c>
      <c r="E241">
        <v>1398.1</v>
      </c>
      <c r="F241">
        <v>84.89</v>
      </c>
      <c r="G241">
        <v>1313.21</v>
      </c>
      <c r="H241" s="4"/>
    </row>
    <row r="242" spans="1:8">
      <c r="A242" t="s">
        <v>17</v>
      </c>
      <c r="B242" t="s">
        <v>18</v>
      </c>
      <c r="C242" t="s">
        <v>19</v>
      </c>
      <c r="D242" s="4">
        <v>46003</v>
      </c>
      <c r="E242">
        <v>850.5</v>
      </c>
      <c r="F242">
        <v>56.34</v>
      </c>
      <c r="G242">
        <v>794.16</v>
      </c>
      <c r="H242" s="4"/>
    </row>
    <row r="243" spans="1:8">
      <c r="A243" t="s">
        <v>17</v>
      </c>
      <c r="B243" t="s">
        <v>18</v>
      </c>
      <c r="C243" t="s">
        <v>19</v>
      </c>
      <c r="D243" s="4">
        <v>46003</v>
      </c>
      <c r="E243">
        <v>254.75</v>
      </c>
      <c r="F243">
        <v>35</v>
      </c>
      <c r="G243">
        <v>219.75</v>
      </c>
      <c r="H243" s="4"/>
    </row>
    <row r="244" spans="1:8">
      <c r="A244" t="s">
        <v>17</v>
      </c>
      <c r="B244" t="s">
        <v>18</v>
      </c>
      <c r="C244" t="s">
        <v>19</v>
      </c>
      <c r="D244" s="4">
        <v>46003</v>
      </c>
      <c r="E244">
        <v>548.1</v>
      </c>
      <c r="F244">
        <v>36.31</v>
      </c>
      <c r="G244">
        <v>511.79</v>
      </c>
      <c r="H244" s="4"/>
    </row>
    <row r="245" spans="1:8">
      <c r="A245" t="s">
        <v>17</v>
      </c>
      <c r="B245" t="s">
        <v>18</v>
      </c>
      <c r="C245" t="s">
        <v>19</v>
      </c>
      <c r="D245" s="4">
        <v>46003</v>
      </c>
      <c r="E245">
        <v>205.51</v>
      </c>
      <c r="F245">
        <v>35</v>
      </c>
      <c r="G245">
        <v>170.51</v>
      </c>
      <c r="H245" s="4"/>
    </row>
    <row r="246" spans="1:8">
      <c r="A246" t="s">
        <v>17</v>
      </c>
      <c r="B246" t="s">
        <v>18</v>
      </c>
      <c r="C246" t="s">
        <v>19</v>
      </c>
      <c r="D246" s="4">
        <v>46003</v>
      </c>
      <c r="E246">
        <v>498.1</v>
      </c>
      <c r="F246">
        <v>35</v>
      </c>
      <c r="G246">
        <v>463.1</v>
      </c>
      <c r="H246" s="4"/>
    </row>
    <row r="247" spans="1:8">
      <c r="A247" t="s">
        <v>17</v>
      </c>
      <c r="B247" t="s">
        <v>18</v>
      </c>
      <c r="C247" t="s">
        <v>19</v>
      </c>
      <c r="D247" s="4">
        <v>46003</v>
      </c>
      <c r="E247">
        <v>2931.43</v>
      </c>
      <c r="F247">
        <v>194.18</v>
      </c>
      <c r="G247">
        <v>2737.25</v>
      </c>
      <c r="H247" s="4"/>
    </row>
    <row r="248" spans="1:8">
      <c r="A248" t="s">
        <v>17</v>
      </c>
      <c r="B248" t="s">
        <v>18</v>
      </c>
      <c r="C248" t="s">
        <v>19</v>
      </c>
      <c r="D248" s="4">
        <v>46003</v>
      </c>
      <c r="E248">
        <v>698.1</v>
      </c>
      <c r="F248">
        <v>46.24</v>
      </c>
      <c r="G248">
        <v>651.86</v>
      </c>
      <c r="H248" s="4"/>
    </row>
    <row r="249" spans="1:8">
      <c r="A249" t="s">
        <v>17</v>
      </c>
      <c r="B249" t="s">
        <v>18</v>
      </c>
      <c r="C249" t="s">
        <v>19</v>
      </c>
      <c r="D249" s="4">
        <v>46003</v>
      </c>
      <c r="E249">
        <v>714.46</v>
      </c>
      <c r="F249">
        <v>47.33</v>
      </c>
      <c r="G249">
        <v>667.13</v>
      </c>
      <c r="H249" s="4"/>
    </row>
    <row r="250" spans="1:8">
      <c r="A250" t="s">
        <v>17</v>
      </c>
      <c r="B250" t="s">
        <v>18</v>
      </c>
      <c r="C250" t="s">
        <v>19</v>
      </c>
      <c r="D250" s="4">
        <v>46009</v>
      </c>
      <c r="E250">
        <v>256.69</v>
      </c>
      <c r="F250">
        <v>40</v>
      </c>
      <c r="G250">
        <v>216.69</v>
      </c>
      <c r="H250" s="4"/>
    </row>
    <row r="251" spans="1:8">
      <c r="A251" t="s">
        <v>17</v>
      </c>
      <c r="B251" t="s">
        <v>18</v>
      </c>
      <c r="C251" t="s">
        <v>19</v>
      </c>
      <c r="D251" s="4">
        <v>46009</v>
      </c>
      <c r="E251">
        <v>398.1</v>
      </c>
      <c r="F251">
        <v>54.34</v>
      </c>
      <c r="G251">
        <v>343.76</v>
      </c>
      <c r="H251" s="4"/>
    </row>
    <row r="252" spans="1:8">
      <c r="A252" t="s">
        <v>17</v>
      </c>
      <c r="B252" t="s">
        <v>18</v>
      </c>
      <c r="C252" t="s">
        <v>19</v>
      </c>
      <c r="D252" s="4">
        <v>46009</v>
      </c>
      <c r="E252">
        <v>1884.46</v>
      </c>
      <c r="F252">
        <v>257.23</v>
      </c>
      <c r="G252">
        <v>1627.23</v>
      </c>
      <c r="H252" s="4"/>
    </row>
    <row r="253" spans="1:8">
      <c r="A253" t="s">
        <v>17</v>
      </c>
      <c r="B253" t="s">
        <v>18</v>
      </c>
      <c r="C253" t="s">
        <v>19</v>
      </c>
      <c r="D253" s="4">
        <v>46009</v>
      </c>
      <c r="E253">
        <v>227.72</v>
      </c>
      <c r="F253">
        <v>40</v>
      </c>
      <c r="G253">
        <v>187.72</v>
      </c>
      <c r="H253" s="4"/>
    </row>
    <row r="254" spans="1:8">
      <c r="A254" t="s">
        <v>17</v>
      </c>
      <c r="B254" t="s">
        <v>18</v>
      </c>
      <c r="C254" t="s">
        <v>19</v>
      </c>
      <c r="D254" s="4">
        <v>46009</v>
      </c>
      <c r="E254">
        <v>206.43</v>
      </c>
      <c r="F254">
        <v>40</v>
      </c>
      <c r="G254">
        <v>166.43</v>
      </c>
      <c r="H254" s="4"/>
    </row>
    <row r="255" spans="1:8">
      <c r="A255" t="s">
        <v>17</v>
      </c>
      <c r="B255" t="s">
        <v>18</v>
      </c>
      <c r="C255" t="s">
        <v>19</v>
      </c>
      <c r="D255" s="4">
        <v>46009</v>
      </c>
      <c r="E255">
        <v>1270.83</v>
      </c>
      <c r="F255">
        <v>173.47</v>
      </c>
      <c r="G255">
        <v>1097.3599999999999</v>
      </c>
      <c r="H255" s="4"/>
    </row>
    <row r="256" spans="1:8">
      <c r="A256" t="s">
        <v>17</v>
      </c>
      <c r="B256" t="s">
        <v>18</v>
      </c>
      <c r="C256" t="s">
        <v>19</v>
      </c>
      <c r="D256" s="4">
        <v>46009</v>
      </c>
      <c r="E256">
        <v>323.10000000000002</v>
      </c>
      <c r="F256">
        <v>48.63</v>
      </c>
      <c r="G256">
        <v>274.47000000000003</v>
      </c>
      <c r="H256" s="4"/>
    </row>
    <row r="257" spans="1:8">
      <c r="A257" t="s">
        <v>17</v>
      </c>
      <c r="B257" t="s">
        <v>18</v>
      </c>
      <c r="C257" t="s">
        <v>19</v>
      </c>
      <c r="D257" s="4">
        <v>46009</v>
      </c>
      <c r="E257">
        <v>865.28</v>
      </c>
      <c r="F257">
        <v>118.11</v>
      </c>
      <c r="G257">
        <v>747.17</v>
      </c>
      <c r="H257" s="4"/>
    </row>
    <row r="258" spans="1:8">
      <c r="A258" t="s">
        <v>17</v>
      </c>
      <c r="B258" t="s">
        <v>18</v>
      </c>
      <c r="C258" t="s">
        <v>19</v>
      </c>
      <c r="D258" s="4">
        <v>46009</v>
      </c>
      <c r="E258">
        <v>647.66</v>
      </c>
      <c r="F258">
        <v>88.41</v>
      </c>
      <c r="G258">
        <v>559.25</v>
      </c>
      <c r="H258" s="4"/>
    </row>
    <row r="259" spans="1:8">
      <c r="A259" t="s">
        <v>17</v>
      </c>
      <c r="B259" t="s">
        <v>18</v>
      </c>
      <c r="C259" t="s">
        <v>19</v>
      </c>
      <c r="D259" s="4">
        <v>46009</v>
      </c>
      <c r="E259">
        <v>205.51</v>
      </c>
      <c r="F259">
        <v>40</v>
      </c>
      <c r="G259">
        <v>165.51</v>
      </c>
      <c r="H259" s="4"/>
    </row>
    <row r="260" spans="1:8">
      <c r="A260" t="s">
        <v>17</v>
      </c>
      <c r="B260" t="s">
        <v>18</v>
      </c>
      <c r="C260" t="s">
        <v>19</v>
      </c>
      <c r="D260" s="4">
        <v>46009</v>
      </c>
      <c r="E260">
        <v>378.9</v>
      </c>
      <c r="F260">
        <v>51.72</v>
      </c>
      <c r="G260">
        <v>327.18</v>
      </c>
      <c r="H260" s="4"/>
    </row>
    <row r="261" spans="1:8">
      <c r="A261" t="s">
        <v>17</v>
      </c>
      <c r="B261" t="s">
        <v>18</v>
      </c>
      <c r="C261" t="s">
        <v>19</v>
      </c>
      <c r="D261" s="4">
        <v>46009</v>
      </c>
      <c r="E261">
        <v>498.1</v>
      </c>
      <c r="F261">
        <v>67.989999999999995</v>
      </c>
      <c r="G261">
        <v>430.11</v>
      </c>
      <c r="H261" s="4"/>
    </row>
    <row r="262" spans="1:8">
      <c r="A262" t="s">
        <v>17</v>
      </c>
      <c r="B262" t="s">
        <v>18</v>
      </c>
      <c r="C262" t="s">
        <v>19</v>
      </c>
      <c r="D262" s="4">
        <v>46009</v>
      </c>
      <c r="E262">
        <v>539.77</v>
      </c>
      <c r="F262">
        <v>73.680000000000007</v>
      </c>
      <c r="G262">
        <v>466.09</v>
      </c>
      <c r="H262" s="4"/>
    </row>
    <row r="263" spans="1:8">
      <c r="A263" t="s">
        <v>17</v>
      </c>
      <c r="B263" t="s">
        <v>18</v>
      </c>
      <c r="C263" t="s">
        <v>19</v>
      </c>
      <c r="D263" s="4">
        <v>46009</v>
      </c>
      <c r="E263">
        <v>1498.1</v>
      </c>
      <c r="F263">
        <v>256.92</v>
      </c>
      <c r="G263">
        <v>1241.18</v>
      </c>
      <c r="H263" s="4"/>
    </row>
    <row r="264" spans="1:8">
      <c r="A264" t="s">
        <v>17</v>
      </c>
      <c r="B264" t="s">
        <v>18</v>
      </c>
      <c r="C264" t="s">
        <v>19</v>
      </c>
      <c r="D264" s="4">
        <v>46009</v>
      </c>
      <c r="E264">
        <v>223.1</v>
      </c>
      <c r="F264">
        <v>40</v>
      </c>
      <c r="G264">
        <v>183.1</v>
      </c>
      <c r="H264" s="4"/>
    </row>
    <row r="265" spans="1:8">
      <c r="A265" t="s">
        <v>17</v>
      </c>
      <c r="B265" t="s">
        <v>18</v>
      </c>
      <c r="C265" t="s">
        <v>19</v>
      </c>
      <c r="D265" s="4">
        <v>46009</v>
      </c>
      <c r="E265">
        <v>690.08</v>
      </c>
      <c r="F265">
        <v>94.2</v>
      </c>
      <c r="G265">
        <v>595.88</v>
      </c>
      <c r="H265" s="4"/>
    </row>
    <row r="266" spans="1:8">
      <c r="A266" t="s">
        <v>17</v>
      </c>
      <c r="B266" t="s">
        <v>18</v>
      </c>
      <c r="C266" t="s">
        <v>19</v>
      </c>
      <c r="D266" s="4">
        <v>46009</v>
      </c>
      <c r="E266">
        <v>998.1</v>
      </c>
      <c r="F266">
        <v>136.24</v>
      </c>
      <c r="G266">
        <v>861.86</v>
      </c>
      <c r="H266" s="4"/>
    </row>
    <row r="267" spans="1:8">
      <c r="A267" t="s">
        <v>17</v>
      </c>
      <c r="B267" t="s">
        <v>18</v>
      </c>
      <c r="C267" t="s">
        <v>19</v>
      </c>
      <c r="D267" s="4">
        <v>46009</v>
      </c>
      <c r="E267">
        <v>598.1</v>
      </c>
      <c r="F267">
        <v>81.64</v>
      </c>
      <c r="G267">
        <v>516.46</v>
      </c>
      <c r="H267" s="4"/>
    </row>
    <row r="268" spans="1:8">
      <c r="A268" t="s">
        <v>17</v>
      </c>
      <c r="B268" t="s">
        <v>18</v>
      </c>
      <c r="C268" t="s">
        <v>19</v>
      </c>
      <c r="D268" s="4">
        <v>46010</v>
      </c>
      <c r="E268">
        <v>118.1</v>
      </c>
      <c r="F268">
        <v>40</v>
      </c>
      <c r="G268">
        <v>78.099999999999994</v>
      </c>
      <c r="H268" s="4"/>
    </row>
    <row r="269" spans="1:8">
      <c r="A269" t="s">
        <v>17</v>
      </c>
      <c r="B269" t="s">
        <v>18</v>
      </c>
      <c r="C269" t="s">
        <v>19</v>
      </c>
      <c r="D269" s="4">
        <v>46010</v>
      </c>
      <c r="E269">
        <v>228.66</v>
      </c>
      <c r="F269">
        <v>40</v>
      </c>
      <c r="G269">
        <v>188.66</v>
      </c>
      <c r="H269" s="4"/>
    </row>
    <row r="270" spans="1:8">
      <c r="A270" t="s">
        <v>17</v>
      </c>
      <c r="B270" t="s">
        <v>18</v>
      </c>
      <c r="C270" t="s">
        <v>19</v>
      </c>
      <c r="D270" s="4">
        <v>46010</v>
      </c>
      <c r="E270">
        <v>118.1</v>
      </c>
      <c r="F270">
        <v>40</v>
      </c>
      <c r="G270">
        <v>78.099999999999994</v>
      </c>
      <c r="H270" s="4"/>
    </row>
    <row r="271" spans="1:8">
      <c r="A271" t="s">
        <v>17</v>
      </c>
      <c r="B271" t="s">
        <v>18</v>
      </c>
      <c r="C271" t="s">
        <v>19</v>
      </c>
      <c r="D271" s="4">
        <v>46010</v>
      </c>
      <c r="E271">
        <v>319.20999999999998</v>
      </c>
      <c r="F271">
        <v>42.45</v>
      </c>
      <c r="G271">
        <v>276.76</v>
      </c>
      <c r="H271" s="4"/>
    </row>
    <row r="272" spans="1:8">
      <c r="A272" t="s">
        <v>17</v>
      </c>
      <c r="B272" t="s">
        <v>18</v>
      </c>
      <c r="C272" t="s">
        <v>19</v>
      </c>
      <c r="D272" s="4">
        <v>46010</v>
      </c>
      <c r="E272">
        <v>230.24</v>
      </c>
      <c r="F272">
        <v>40</v>
      </c>
      <c r="G272">
        <v>190.24</v>
      </c>
      <c r="H272" s="4"/>
    </row>
    <row r="273" spans="1:8">
      <c r="A273" t="s">
        <v>17</v>
      </c>
      <c r="B273" t="s">
        <v>18</v>
      </c>
      <c r="C273" t="s">
        <v>19</v>
      </c>
      <c r="D273" s="4">
        <v>46010</v>
      </c>
      <c r="E273">
        <v>485.6</v>
      </c>
      <c r="F273">
        <v>81.58</v>
      </c>
      <c r="G273">
        <v>404.02</v>
      </c>
      <c r="H273" s="4"/>
    </row>
    <row r="274" spans="1:8">
      <c r="A274" t="s">
        <v>17</v>
      </c>
      <c r="B274" t="s">
        <v>18</v>
      </c>
      <c r="C274" t="s">
        <v>19</v>
      </c>
      <c r="D274" s="4">
        <v>46010</v>
      </c>
      <c r="E274">
        <v>118.1</v>
      </c>
      <c r="F274">
        <v>40</v>
      </c>
      <c r="G274">
        <v>78.099999999999994</v>
      </c>
      <c r="H274" s="4"/>
    </row>
    <row r="275" spans="1:8">
      <c r="A275" t="s">
        <v>17</v>
      </c>
      <c r="B275" t="s">
        <v>18</v>
      </c>
      <c r="C275" t="s">
        <v>19</v>
      </c>
      <c r="D275" s="4">
        <v>46010</v>
      </c>
      <c r="E275">
        <v>198.1</v>
      </c>
      <c r="F275">
        <v>40</v>
      </c>
      <c r="G275">
        <v>158.1</v>
      </c>
      <c r="H275" s="4"/>
    </row>
    <row r="276" spans="1:8">
      <c r="A276" t="s">
        <v>17</v>
      </c>
      <c r="B276" t="s">
        <v>18</v>
      </c>
      <c r="C276" t="s">
        <v>19</v>
      </c>
      <c r="D276" s="4">
        <v>46010</v>
      </c>
      <c r="E276">
        <v>748.1</v>
      </c>
      <c r="F276">
        <v>125.68</v>
      </c>
      <c r="G276">
        <v>622.41999999999996</v>
      </c>
      <c r="H276" s="4"/>
    </row>
    <row r="277" spans="1:8">
      <c r="A277" t="s">
        <v>17</v>
      </c>
      <c r="B277" t="s">
        <v>18</v>
      </c>
      <c r="C277" t="s">
        <v>19</v>
      </c>
      <c r="D277" s="4">
        <v>46010</v>
      </c>
      <c r="E277">
        <v>98.1</v>
      </c>
      <c r="F277">
        <v>40</v>
      </c>
      <c r="G277">
        <v>58.1</v>
      </c>
      <c r="H277" s="4"/>
    </row>
    <row r="278" spans="1:8">
      <c r="A278" t="s">
        <v>17</v>
      </c>
      <c r="B278" t="s">
        <v>18</v>
      </c>
      <c r="C278" t="s">
        <v>19</v>
      </c>
      <c r="D278" s="4">
        <v>46010</v>
      </c>
      <c r="E278">
        <v>216.2</v>
      </c>
      <c r="F278">
        <v>40</v>
      </c>
      <c r="G278">
        <v>176.2</v>
      </c>
      <c r="H278" s="4"/>
    </row>
    <row r="279" spans="1:8">
      <c r="A279" t="s">
        <v>17</v>
      </c>
      <c r="B279" t="s">
        <v>18</v>
      </c>
      <c r="C279" t="s">
        <v>19</v>
      </c>
      <c r="D279" s="4">
        <v>46010</v>
      </c>
      <c r="E279">
        <v>498.1</v>
      </c>
      <c r="F279">
        <v>83.68</v>
      </c>
      <c r="G279">
        <v>414.42</v>
      </c>
      <c r="H279" s="4"/>
    </row>
    <row r="280" spans="1:8">
      <c r="A280" t="s">
        <v>17</v>
      </c>
      <c r="B280" t="s">
        <v>18</v>
      </c>
      <c r="C280" t="s">
        <v>19</v>
      </c>
      <c r="D280" s="4">
        <v>46010</v>
      </c>
      <c r="E280">
        <v>118.1</v>
      </c>
      <c r="F280">
        <v>40</v>
      </c>
      <c r="G280">
        <v>78.099999999999994</v>
      </c>
      <c r="H280" s="4"/>
    </row>
    <row r="281" spans="1:8">
      <c r="A281" t="s">
        <v>17</v>
      </c>
      <c r="B281" t="s">
        <v>18</v>
      </c>
      <c r="C281" t="s">
        <v>19</v>
      </c>
      <c r="D281" s="4">
        <v>46010</v>
      </c>
      <c r="E281">
        <v>128.1</v>
      </c>
      <c r="F281">
        <v>40</v>
      </c>
      <c r="G281">
        <v>88.1</v>
      </c>
      <c r="H281" s="4"/>
    </row>
    <row r="282" spans="1:8">
      <c r="A282" t="s">
        <v>17</v>
      </c>
      <c r="B282" t="s">
        <v>18</v>
      </c>
      <c r="C282" t="s">
        <v>19</v>
      </c>
      <c r="D282" s="4">
        <v>46010</v>
      </c>
      <c r="E282">
        <v>998.1</v>
      </c>
      <c r="F282">
        <v>167.68</v>
      </c>
      <c r="G282">
        <v>830.42</v>
      </c>
      <c r="H282" s="4"/>
    </row>
    <row r="283" spans="1:8">
      <c r="A283" t="s">
        <v>17</v>
      </c>
      <c r="B283" t="s">
        <v>18</v>
      </c>
      <c r="C283" t="s">
        <v>19</v>
      </c>
      <c r="D283" s="4">
        <v>46010</v>
      </c>
      <c r="E283">
        <v>298.10000000000002</v>
      </c>
      <c r="F283">
        <v>50.08</v>
      </c>
      <c r="G283">
        <v>248.02</v>
      </c>
      <c r="H283" s="4"/>
    </row>
    <row r="284" spans="1:8">
      <c r="A284" t="s">
        <v>17</v>
      </c>
      <c r="B284" t="s">
        <v>18</v>
      </c>
      <c r="C284" t="s">
        <v>19</v>
      </c>
      <c r="D284" s="4">
        <v>46010</v>
      </c>
      <c r="E284">
        <v>118.1</v>
      </c>
      <c r="F284">
        <v>40</v>
      </c>
      <c r="G284">
        <v>78.099999999999994</v>
      </c>
      <c r="H284" s="4"/>
    </row>
    <row r="285" spans="1:8">
      <c r="A285" t="s">
        <v>17</v>
      </c>
      <c r="B285" t="s">
        <v>18</v>
      </c>
      <c r="C285" t="s">
        <v>19</v>
      </c>
      <c r="D285" s="4">
        <v>46010</v>
      </c>
      <c r="E285">
        <v>448.1</v>
      </c>
      <c r="F285">
        <v>59.6</v>
      </c>
      <c r="G285">
        <v>388.5</v>
      </c>
      <c r="H285" s="4"/>
    </row>
    <row r="286" spans="1:8">
      <c r="A286" t="s">
        <v>17</v>
      </c>
      <c r="B286" t="s">
        <v>18</v>
      </c>
      <c r="C286" t="s">
        <v>19</v>
      </c>
      <c r="D286" s="4">
        <v>46010</v>
      </c>
      <c r="E286">
        <v>250.92</v>
      </c>
      <c r="F286">
        <v>42.15</v>
      </c>
      <c r="G286">
        <v>208.77</v>
      </c>
      <c r="H286" s="4"/>
    </row>
    <row r="287" spans="1:8">
      <c r="A287" t="s">
        <v>17</v>
      </c>
      <c r="B287" t="s">
        <v>18</v>
      </c>
      <c r="C287" t="s">
        <v>19</v>
      </c>
      <c r="D287" s="4">
        <v>46010</v>
      </c>
      <c r="E287">
        <v>298.10000000000002</v>
      </c>
      <c r="F287">
        <v>55.3</v>
      </c>
      <c r="G287">
        <v>242.8</v>
      </c>
      <c r="H287" s="4"/>
    </row>
    <row r="288" spans="1:8">
      <c r="A288" t="s">
        <v>17</v>
      </c>
      <c r="B288" t="s">
        <v>18</v>
      </c>
      <c r="C288" t="s">
        <v>19</v>
      </c>
      <c r="D288" s="4">
        <v>46010</v>
      </c>
      <c r="E288">
        <v>198.1</v>
      </c>
      <c r="F288">
        <v>40</v>
      </c>
      <c r="G288">
        <v>158.1</v>
      </c>
      <c r="H288" s="4"/>
    </row>
    <row r="289" spans="1:8">
      <c r="A289" t="s">
        <v>17</v>
      </c>
      <c r="B289" t="s">
        <v>18</v>
      </c>
      <c r="C289" t="s">
        <v>19</v>
      </c>
      <c r="D289" s="4">
        <v>46010</v>
      </c>
      <c r="E289">
        <v>439.45</v>
      </c>
      <c r="F289">
        <v>58.45</v>
      </c>
      <c r="G289">
        <v>381</v>
      </c>
      <c r="H289" s="4"/>
    </row>
    <row r="290" spans="1:8">
      <c r="A290" t="s">
        <v>17</v>
      </c>
      <c r="B290" t="s">
        <v>18</v>
      </c>
      <c r="C290" t="s">
        <v>19</v>
      </c>
      <c r="D290" s="4">
        <v>46010</v>
      </c>
      <c r="E290">
        <v>118.1</v>
      </c>
      <c r="F290">
        <v>40</v>
      </c>
      <c r="G290">
        <v>78.099999999999994</v>
      </c>
      <c r="H290" s="4"/>
    </row>
    <row r="291" spans="1:8">
      <c r="A291" t="s">
        <v>17</v>
      </c>
      <c r="B291" t="s">
        <v>18</v>
      </c>
      <c r="C291" t="s">
        <v>19</v>
      </c>
      <c r="D291" s="4">
        <v>46010</v>
      </c>
      <c r="E291">
        <v>1090.0999999999999</v>
      </c>
      <c r="F291">
        <v>183.14</v>
      </c>
      <c r="G291">
        <v>906.96</v>
      </c>
      <c r="H291" s="4"/>
    </row>
    <row r="292" spans="1:8">
      <c r="A292" t="s">
        <v>17</v>
      </c>
      <c r="B292" t="s">
        <v>18</v>
      </c>
      <c r="C292" t="s">
        <v>19</v>
      </c>
      <c r="D292" s="4">
        <v>46010</v>
      </c>
      <c r="E292">
        <v>198.1</v>
      </c>
      <c r="F292">
        <v>40</v>
      </c>
      <c r="G292">
        <v>158.1</v>
      </c>
      <c r="H292" s="4"/>
    </row>
    <row r="293" spans="1:8">
      <c r="A293" t="s">
        <v>17</v>
      </c>
      <c r="B293" t="s">
        <v>18</v>
      </c>
      <c r="C293" t="s">
        <v>19</v>
      </c>
      <c r="D293" s="4">
        <v>46010</v>
      </c>
      <c r="E293">
        <v>487.89</v>
      </c>
      <c r="F293">
        <v>81.97</v>
      </c>
      <c r="G293">
        <v>405.92</v>
      </c>
      <c r="H293" s="4"/>
    </row>
    <row r="294" spans="1:8">
      <c r="A294" t="s">
        <v>17</v>
      </c>
      <c r="B294" t="s">
        <v>18</v>
      </c>
      <c r="C294" t="s">
        <v>19</v>
      </c>
      <c r="D294" s="4">
        <v>46010</v>
      </c>
      <c r="E294">
        <v>205.6</v>
      </c>
      <c r="F294">
        <v>40</v>
      </c>
      <c r="G294">
        <v>165.6</v>
      </c>
      <c r="H294" s="4"/>
    </row>
    <row r="295" spans="1:8">
      <c r="A295" t="s">
        <v>17</v>
      </c>
      <c r="B295" t="s">
        <v>18</v>
      </c>
      <c r="C295" t="s">
        <v>19</v>
      </c>
      <c r="D295" s="4">
        <v>46020</v>
      </c>
      <c r="E295">
        <v>714.46</v>
      </c>
      <c r="F295">
        <v>127.53</v>
      </c>
      <c r="G295">
        <v>586.92999999999995</v>
      </c>
      <c r="H295" s="4"/>
    </row>
    <row r="296" spans="1:8">
      <c r="A296" t="s">
        <v>17</v>
      </c>
      <c r="B296" t="s">
        <v>18</v>
      </c>
      <c r="C296" t="s">
        <v>19</v>
      </c>
      <c r="D296" s="4">
        <v>46020</v>
      </c>
      <c r="E296">
        <v>1398.1</v>
      </c>
      <c r="F296">
        <v>220.2</v>
      </c>
      <c r="G296">
        <v>1177.9000000000001</v>
      </c>
      <c r="H296" s="4"/>
    </row>
    <row r="297" spans="1:8">
      <c r="A297" t="s">
        <v>17</v>
      </c>
      <c r="B297" t="s">
        <v>18</v>
      </c>
      <c r="C297" t="s">
        <v>19</v>
      </c>
      <c r="D297" s="4">
        <v>46020</v>
      </c>
      <c r="E297">
        <v>205.51</v>
      </c>
      <c r="F297">
        <v>40</v>
      </c>
      <c r="G297">
        <v>165.51</v>
      </c>
      <c r="H297" s="4"/>
    </row>
    <row r="298" spans="1:8">
      <c r="A298" t="s">
        <v>17</v>
      </c>
      <c r="B298" t="s">
        <v>18</v>
      </c>
      <c r="C298" t="s">
        <v>19</v>
      </c>
      <c r="D298" s="4">
        <v>46020</v>
      </c>
      <c r="E298">
        <v>548.1</v>
      </c>
      <c r="F298">
        <v>97.84</v>
      </c>
      <c r="G298">
        <v>450.26</v>
      </c>
      <c r="H298" s="4"/>
    </row>
    <row r="299" spans="1:8">
      <c r="A299" t="s">
        <v>17</v>
      </c>
      <c r="B299" t="s">
        <v>18</v>
      </c>
      <c r="C299" t="s">
        <v>19</v>
      </c>
      <c r="D299" s="4">
        <v>46020</v>
      </c>
      <c r="E299">
        <v>498.1</v>
      </c>
      <c r="F299">
        <v>80.19</v>
      </c>
      <c r="G299">
        <v>417.91</v>
      </c>
      <c r="H299" s="4"/>
    </row>
    <row r="300" spans="1:8">
      <c r="A300" t="s">
        <v>17</v>
      </c>
      <c r="B300" t="s">
        <v>18</v>
      </c>
      <c r="C300" t="s">
        <v>19</v>
      </c>
      <c r="D300" s="4">
        <v>46020</v>
      </c>
      <c r="E300">
        <v>314.77</v>
      </c>
      <c r="F300">
        <v>49.58</v>
      </c>
      <c r="G300">
        <v>265.19</v>
      </c>
      <c r="H300" s="4"/>
    </row>
    <row r="301" spans="1:8">
      <c r="A301" t="s">
        <v>17</v>
      </c>
      <c r="B301" t="s">
        <v>18</v>
      </c>
      <c r="C301" t="s">
        <v>19</v>
      </c>
      <c r="D301" s="4">
        <v>46020</v>
      </c>
      <c r="E301">
        <v>98.1</v>
      </c>
      <c r="F301">
        <v>40</v>
      </c>
      <c r="G301">
        <v>58.1</v>
      </c>
      <c r="H301" s="4"/>
    </row>
    <row r="302" spans="1:8">
      <c r="A302" t="s">
        <v>17</v>
      </c>
      <c r="B302" t="s">
        <v>18</v>
      </c>
      <c r="C302" t="s">
        <v>19</v>
      </c>
      <c r="D302" s="4">
        <v>46020</v>
      </c>
      <c r="E302">
        <v>538.1</v>
      </c>
      <c r="F302">
        <v>84.75</v>
      </c>
      <c r="G302">
        <v>453.35</v>
      </c>
      <c r="H302" s="4"/>
    </row>
    <row r="303" spans="1:8">
      <c r="A303" t="s">
        <v>17</v>
      </c>
      <c r="B303" t="s">
        <v>18</v>
      </c>
      <c r="C303" t="s">
        <v>19</v>
      </c>
      <c r="D303" s="4">
        <v>46020</v>
      </c>
      <c r="E303">
        <v>297.97000000000003</v>
      </c>
      <c r="F303">
        <v>40</v>
      </c>
      <c r="G303">
        <v>257.97000000000003</v>
      </c>
      <c r="H303" s="4"/>
    </row>
    <row r="304" spans="1:8">
      <c r="A304" t="s">
        <v>20</v>
      </c>
      <c r="B304" t="s">
        <v>21</v>
      </c>
      <c r="C304" t="s">
        <v>22</v>
      </c>
      <c r="D304" s="4"/>
      <c r="E304">
        <v>626.70000000000005</v>
      </c>
      <c r="F304">
        <v>50.45</v>
      </c>
      <c r="G304">
        <v>576.25</v>
      </c>
      <c r="H304" s="4"/>
    </row>
    <row r="305" spans="1:8">
      <c r="A305" t="s">
        <v>20</v>
      </c>
      <c r="B305" t="s">
        <v>21</v>
      </c>
      <c r="C305" t="s">
        <v>22</v>
      </c>
      <c r="D305" s="4"/>
      <c r="E305">
        <v>581.42999999999995</v>
      </c>
      <c r="F305">
        <v>44.77</v>
      </c>
      <c r="G305">
        <v>536.66</v>
      </c>
      <c r="H305" s="4"/>
    </row>
    <row r="306" spans="1:8">
      <c r="A306" t="s">
        <v>20</v>
      </c>
      <c r="B306" t="s">
        <v>21</v>
      </c>
      <c r="C306" t="s">
        <v>22</v>
      </c>
      <c r="D306" s="4"/>
      <c r="E306">
        <v>539.77</v>
      </c>
      <c r="F306">
        <v>41.56</v>
      </c>
      <c r="G306">
        <v>498.21</v>
      </c>
      <c r="H306" s="4"/>
    </row>
    <row r="307" spans="1:8">
      <c r="A307" t="s">
        <v>20</v>
      </c>
      <c r="B307" t="s">
        <v>21</v>
      </c>
      <c r="C307" t="s">
        <v>22</v>
      </c>
      <c r="D307" s="4"/>
      <c r="E307">
        <v>348.1</v>
      </c>
      <c r="F307">
        <v>40</v>
      </c>
      <c r="G307">
        <v>308.10000000000002</v>
      </c>
      <c r="H307" s="4"/>
    </row>
    <row r="308" spans="1:8">
      <c r="A308" t="s">
        <v>20</v>
      </c>
      <c r="B308" t="s">
        <v>21</v>
      </c>
      <c r="C308" t="s">
        <v>22</v>
      </c>
      <c r="D308" s="4"/>
      <c r="E308">
        <v>102.27</v>
      </c>
      <c r="F308">
        <v>40</v>
      </c>
      <c r="G308">
        <v>62.27</v>
      </c>
      <c r="H308" s="4"/>
    </row>
    <row r="309" spans="1:8">
      <c r="A309" t="s">
        <v>20</v>
      </c>
      <c r="B309" t="s">
        <v>21</v>
      </c>
      <c r="C309" t="s">
        <v>22</v>
      </c>
      <c r="D309" s="4"/>
      <c r="E309">
        <v>200.32</v>
      </c>
      <c r="F309">
        <v>40</v>
      </c>
      <c r="G309">
        <v>160.32</v>
      </c>
      <c r="H309" s="4"/>
    </row>
    <row r="310" spans="1:8">
      <c r="A310" t="s">
        <v>20</v>
      </c>
      <c r="B310" t="s">
        <v>21</v>
      </c>
      <c r="C310" t="s">
        <v>22</v>
      </c>
      <c r="D310" s="4"/>
      <c r="E310">
        <v>78.099999999999994</v>
      </c>
      <c r="F310">
        <v>40</v>
      </c>
      <c r="G310">
        <v>38.1</v>
      </c>
      <c r="H310" s="4"/>
    </row>
    <row r="311" spans="1:8">
      <c r="A311" t="s">
        <v>20</v>
      </c>
      <c r="B311" t="s">
        <v>21</v>
      </c>
      <c r="C311" t="s">
        <v>22</v>
      </c>
      <c r="D311" s="4"/>
      <c r="E311">
        <v>108.1</v>
      </c>
      <c r="F311">
        <v>40</v>
      </c>
      <c r="G311">
        <v>68.099999999999994</v>
      </c>
      <c r="H311" s="4"/>
    </row>
    <row r="312" spans="1:8">
      <c r="A312" t="s">
        <v>20</v>
      </c>
      <c r="B312" t="s">
        <v>21</v>
      </c>
      <c r="C312" t="s">
        <v>22</v>
      </c>
      <c r="D312" s="4"/>
      <c r="E312">
        <v>398.1</v>
      </c>
      <c r="F312">
        <v>40</v>
      </c>
      <c r="G312">
        <v>358.1</v>
      </c>
      <c r="H312" s="4"/>
    </row>
    <row r="313" spans="1:8">
      <c r="A313" t="s">
        <v>20</v>
      </c>
      <c r="B313" t="s">
        <v>21</v>
      </c>
      <c r="C313" t="s">
        <v>22</v>
      </c>
      <c r="D313" s="4"/>
      <c r="E313">
        <v>98.1</v>
      </c>
      <c r="F313">
        <v>40</v>
      </c>
      <c r="G313">
        <v>58.1</v>
      </c>
      <c r="H313" s="4"/>
    </row>
    <row r="314" spans="1:8">
      <c r="A314" t="s">
        <v>20</v>
      </c>
      <c r="B314" t="s">
        <v>21</v>
      </c>
      <c r="C314" t="s">
        <v>22</v>
      </c>
      <c r="D314" s="4"/>
      <c r="E314">
        <v>231.43</v>
      </c>
      <c r="F314">
        <v>40</v>
      </c>
      <c r="G314">
        <v>191.43</v>
      </c>
      <c r="H314" s="4"/>
    </row>
    <row r="315" spans="1:8">
      <c r="A315" t="s">
        <v>20</v>
      </c>
      <c r="B315" t="s">
        <v>21</v>
      </c>
      <c r="C315" t="s">
        <v>22</v>
      </c>
      <c r="D315" s="4"/>
      <c r="E315">
        <v>98.1</v>
      </c>
      <c r="F315">
        <v>40</v>
      </c>
      <c r="G315">
        <v>58.1</v>
      </c>
      <c r="H315" s="4"/>
    </row>
    <row r="316" spans="1:8">
      <c r="A316" t="s">
        <v>20</v>
      </c>
      <c r="B316" t="s">
        <v>21</v>
      </c>
      <c r="C316" t="s">
        <v>22</v>
      </c>
      <c r="D316" s="4"/>
      <c r="E316">
        <v>203.1</v>
      </c>
      <c r="F316">
        <v>40</v>
      </c>
      <c r="G316">
        <v>163.1</v>
      </c>
      <c r="H316" s="4"/>
    </row>
    <row r="317" spans="1:8">
      <c r="A317" t="s">
        <v>20</v>
      </c>
      <c r="B317" t="s">
        <v>21</v>
      </c>
      <c r="C317" t="s">
        <v>22</v>
      </c>
      <c r="D317" s="4"/>
      <c r="E317">
        <v>108.1</v>
      </c>
      <c r="F317">
        <v>40</v>
      </c>
      <c r="G317">
        <v>68.099999999999994</v>
      </c>
      <c r="H317" s="4"/>
    </row>
    <row r="318" spans="1:8">
      <c r="A318" t="s">
        <v>20</v>
      </c>
      <c r="B318" t="s">
        <v>21</v>
      </c>
      <c r="C318" t="s">
        <v>22</v>
      </c>
      <c r="D318" s="4"/>
      <c r="E318">
        <v>477.27</v>
      </c>
      <c r="F318">
        <v>40.090000000000003</v>
      </c>
      <c r="G318">
        <v>437.18</v>
      </c>
      <c r="H318" s="4"/>
    </row>
    <row r="319" spans="1:8">
      <c r="A319" t="s">
        <v>20</v>
      </c>
      <c r="B319" t="s">
        <v>21</v>
      </c>
      <c r="C319" t="s">
        <v>22</v>
      </c>
      <c r="D319" s="4"/>
      <c r="E319">
        <v>78.099999999999994</v>
      </c>
      <c r="F319">
        <v>40</v>
      </c>
      <c r="G319">
        <v>38.1</v>
      </c>
      <c r="H319" s="4"/>
    </row>
    <row r="320" spans="1:8">
      <c r="A320" t="s">
        <v>20</v>
      </c>
      <c r="B320" t="s">
        <v>21</v>
      </c>
      <c r="C320" t="s">
        <v>22</v>
      </c>
      <c r="D320" s="4"/>
      <c r="E320">
        <v>108.1</v>
      </c>
      <c r="F320">
        <v>40</v>
      </c>
      <c r="G320">
        <v>68.099999999999994</v>
      </c>
      <c r="H320" s="4"/>
    </row>
    <row r="321" spans="1:8">
      <c r="A321" t="s">
        <v>20</v>
      </c>
      <c r="B321" t="s">
        <v>21</v>
      </c>
      <c r="C321" t="s">
        <v>22</v>
      </c>
      <c r="D321" s="4"/>
      <c r="E321">
        <v>138.1</v>
      </c>
      <c r="F321">
        <v>40</v>
      </c>
      <c r="G321">
        <v>98.1</v>
      </c>
      <c r="H321" s="4"/>
    </row>
    <row r="322" spans="1:8">
      <c r="A322" t="s">
        <v>20</v>
      </c>
      <c r="B322" t="s">
        <v>21</v>
      </c>
      <c r="C322" t="s">
        <v>22</v>
      </c>
      <c r="D322" s="4"/>
      <c r="E322">
        <v>998.1</v>
      </c>
      <c r="F322">
        <v>52.4</v>
      </c>
      <c r="G322">
        <v>945.7</v>
      </c>
      <c r="H322" s="4"/>
    </row>
    <row r="323" spans="1:8">
      <c r="A323" t="s">
        <v>20</v>
      </c>
      <c r="B323" t="s">
        <v>21</v>
      </c>
      <c r="C323" t="s">
        <v>22</v>
      </c>
      <c r="D323" s="4"/>
      <c r="E323">
        <v>373.1</v>
      </c>
      <c r="F323">
        <v>40</v>
      </c>
      <c r="G323">
        <v>333.1</v>
      </c>
      <c r="H323" s="4"/>
    </row>
    <row r="324" spans="1:8">
      <c r="A324" t="s">
        <v>20</v>
      </c>
      <c r="B324" t="s">
        <v>21</v>
      </c>
      <c r="C324" t="s">
        <v>22</v>
      </c>
      <c r="D324" s="4"/>
      <c r="E324">
        <v>223.1</v>
      </c>
      <c r="F324">
        <v>40</v>
      </c>
      <c r="G324">
        <v>183.1</v>
      </c>
      <c r="H324" s="4"/>
    </row>
    <row r="325" spans="1:8">
      <c r="A325" t="s">
        <v>20</v>
      </c>
      <c r="B325" t="s">
        <v>21</v>
      </c>
      <c r="C325" t="s">
        <v>22</v>
      </c>
      <c r="D325" s="4"/>
      <c r="E325">
        <v>235.6</v>
      </c>
      <c r="F325">
        <v>40</v>
      </c>
      <c r="G325">
        <v>195.6</v>
      </c>
      <c r="H325" s="4"/>
    </row>
    <row r="326" spans="1:8">
      <c r="A326" t="s">
        <v>20</v>
      </c>
      <c r="B326" t="s">
        <v>21</v>
      </c>
      <c r="C326" t="s">
        <v>22</v>
      </c>
      <c r="D326" s="4"/>
      <c r="E326">
        <v>248.1</v>
      </c>
      <c r="F326">
        <v>40</v>
      </c>
      <c r="G326">
        <v>208.1</v>
      </c>
      <c r="H326" s="4"/>
    </row>
    <row r="327" spans="1:8">
      <c r="A327" t="s">
        <v>20</v>
      </c>
      <c r="B327" t="s">
        <v>21</v>
      </c>
      <c r="C327" t="s">
        <v>22</v>
      </c>
      <c r="D327" s="4"/>
      <c r="E327">
        <v>423.1</v>
      </c>
      <c r="F327">
        <v>40</v>
      </c>
      <c r="G327">
        <v>383.1</v>
      </c>
      <c r="H327" s="4"/>
    </row>
    <row r="328" spans="1:8">
      <c r="A328" t="s">
        <v>20</v>
      </c>
      <c r="B328" t="s">
        <v>21</v>
      </c>
      <c r="C328" t="s">
        <v>22</v>
      </c>
      <c r="D328" s="4"/>
      <c r="E328">
        <v>108.1</v>
      </c>
      <c r="F328">
        <v>40</v>
      </c>
      <c r="G328">
        <v>68.099999999999994</v>
      </c>
      <c r="H328" s="4"/>
    </row>
    <row r="329" spans="1:8">
      <c r="A329" t="s">
        <v>20</v>
      </c>
      <c r="B329" t="s">
        <v>21</v>
      </c>
      <c r="C329" t="s">
        <v>22</v>
      </c>
      <c r="D329" s="4"/>
      <c r="E329">
        <v>98.1</v>
      </c>
      <c r="F329">
        <v>40</v>
      </c>
      <c r="G329">
        <v>58.1</v>
      </c>
      <c r="H329" s="4"/>
    </row>
    <row r="330" spans="1:8">
      <c r="A330" t="s">
        <v>20</v>
      </c>
      <c r="B330" t="s">
        <v>21</v>
      </c>
      <c r="C330" t="s">
        <v>22</v>
      </c>
      <c r="D330" s="4"/>
      <c r="E330">
        <v>276.77</v>
      </c>
      <c r="F330">
        <v>40</v>
      </c>
      <c r="G330">
        <v>236.77</v>
      </c>
      <c r="H330" s="4"/>
    </row>
    <row r="331" spans="1:8">
      <c r="A331" t="s">
        <v>20</v>
      </c>
      <c r="B331" t="s">
        <v>21</v>
      </c>
      <c r="C331" t="s">
        <v>22</v>
      </c>
      <c r="D331" s="4"/>
      <c r="E331">
        <v>498.1</v>
      </c>
      <c r="F331">
        <v>40</v>
      </c>
      <c r="G331">
        <v>458.1</v>
      </c>
      <c r="H331" s="4"/>
    </row>
    <row r="332" spans="1:8">
      <c r="A332" t="s">
        <v>20</v>
      </c>
      <c r="B332" t="s">
        <v>21</v>
      </c>
      <c r="C332" t="s">
        <v>22</v>
      </c>
      <c r="D332" s="4"/>
      <c r="E332">
        <v>78.099999999999994</v>
      </c>
      <c r="F332">
        <v>40</v>
      </c>
      <c r="G332">
        <v>38.1</v>
      </c>
      <c r="H332" s="4"/>
    </row>
    <row r="333" spans="1:8">
      <c r="A333" t="s">
        <v>20</v>
      </c>
      <c r="B333" t="s">
        <v>21</v>
      </c>
      <c r="C333" t="s">
        <v>22</v>
      </c>
      <c r="D333" s="4"/>
      <c r="E333">
        <v>33.1</v>
      </c>
      <c r="F333">
        <v>40</v>
      </c>
      <c r="G333">
        <v>0</v>
      </c>
      <c r="H333" s="4"/>
    </row>
    <row r="334" spans="1:8">
      <c r="A334" t="s">
        <v>20</v>
      </c>
      <c r="B334" t="s">
        <v>21</v>
      </c>
      <c r="C334" t="s">
        <v>22</v>
      </c>
      <c r="D334" s="4"/>
      <c r="E334">
        <v>373.1</v>
      </c>
      <c r="F334">
        <v>40</v>
      </c>
      <c r="G334">
        <v>333.1</v>
      </c>
      <c r="H334" s="4"/>
    </row>
    <row r="335" spans="1:8">
      <c r="A335" t="s">
        <v>20</v>
      </c>
      <c r="B335" t="s">
        <v>21</v>
      </c>
      <c r="C335" t="s">
        <v>22</v>
      </c>
      <c r="D335" s="4"/>
      <c r="E335">
        <v>78.099999999999994</v>
      </c>
      <c r="F335">
        <v>40</v>
      </c>
      <c r="G335">
        <v>38.1</v>
      </c>
      <c r="H335" s="4"/>
    </row>
    <row r="336" spans="1:8">
      <c r="A336" t="s">
        <v>20</v>
      </c>
      <c r="B336" t="s">
        <v>21</v>
      </c>
      <c r="C336" t="s">
        <v>22</v>
      </c>
      <c r="D336" s="4"/>
      <c r="E336">
        <v>98.1</v>
      </c>
      <c r="F336">
        <v>40</v>
      </c>
      <c r="G336">
        <v>58.1</v>
      </c>
      <c r="H336" s="4"/>
    </row>
    <row r="337" spans="1:8">
      <c r="A337" t="s">
        <v>20</v>
      </c>
      <c r="B337" t="s">
        <v>21</v>
      </c>
      <c r="C337" t="s">
        <v>22</v>
      </c>
      <c r="D337" s="4"/>
      <c r="E337">
        <v>273.10000000000002</v>
      </c>
      <c r="F337">
        <v>40</v>
      </c>
      <c r="G337">
        <v>233.1</v>
      </c>
      <c r="H337" s="4"/>
    </row>
    <row r="338" spans="1:8">
      <c r="A338" t="s">
        <v>20</v>
      </c>
      <c r="B338" t="s">
        <v>21</v>
      </c>
      <c r="C338" t="s">
        <v>22</v>
      </c>
      <c r="D338" s="4"/>
      <c r="E338">
        <v>43.1</v>
      </c>
      <c r="F338">
        <v>40</v>
      </c>
      <c r="G338">
        <v>3.1</v>
      </c>
      <c r="H338" s="4"/>
    </row>
    <row r="339" spans="1:8">
      <c r="A339" t="s">
        <v>20</v>
      </c>
      <c r="B339" t="s">
        <v>21</v>
      </c>
      <c r="C339" t="s">
        <v>22</v>
      </c>
      <c r="D339" s="4"/>
      <c r="E339">
        <v>212.19</v>
      </c>
      <c r="F339">
        <v>40</v>
      </c>
      <c r="G339">
        <v>172.19</v>
      </c>
      <c r="H339" s="4"/>
    </row>
    <row r="340" spans="1:8">
      <c r="A340" t="s">
        <v>20</v>
      </c>
      <c r="B340" t="s">
        <v>21</v>
      </c>
      <c r="C340" t="s">
        <v>22</v>
      </c>
      <c r="D340" s="4"/>
      <c r="E340">
        <v>498.1</v>
      </c>
      <c r="F340">
        <v>41.84</v>
      </c>
      <c r="G340">
        <v>456.26</v>
      </c>
      <c r="H340" s="4"/>
    </row>
    <row r="341" spans="1:8">
      <c r="A341" t="s">
        <v>20</v>
      </c>
      <c r="B341" t="s">
        <v>21</v>
      </c>
      <c r="C341" t="s">
        <v>22</v>
      </c>
      <c r="D341" s="4"/>
      <c r="E341">
        <v>210.6</v>
      </c>
      <c r="F341">
        <v>40</v>
      </c>
      <c r="G341">
        <v>170.6</v>
      </c>
      <c r="H341" s="4"/>
    </row>
    <row r="342" spans="1:8">
      <c r="A342" t="s">
        <v>20</v>
      </c>
      <c r="B342" t="s">
        <v>21</v>
      </c>
      <c r="C342" t="s">
        <v>22</v>
      </c>
      <c r="D342" s="4"/>
      <c r="E342">
        <v>235.6</v>
      </c>
      <c r="F342">
        <v>40</v>
      </c>
      <c r="G342">
        <v>195.6</v>
      </c>
      <c r="H342" s="4"/>
    </row>
    <row r="343" spans="1:8">
      <c r="A343" t="s">
        <v>20</v>
      </c>
      <c r="B343" t="s">
        <v>21</v>
      </c>
      <c r="C343" t="s">
        <v>22</v>
      </c>
      <c r="D343" s="4"/>
      <c r="E343">
        <v>639.77</v>
      </c>
      <c r="F343">
        <v>49.26</v>
      </c>
      <c r="G343">
        <v>590.51</v>
      </c>
      <c r="H343" s="4"/>
    </row>
    <row r="344" spans="1:8">
      <c r="A344" t="s">
        <v>20</v>
      </c>
      <c r="B344" t="s">
        <v>21</v>
      </c>
      <c r="C344" t="s">
        <v>22</v>
      </c>
      <c r="D344" s="4"/>
      <c r="E344">
        <v>43.1</v>
      </c>
      <c r="F344">
        <v>40</v>
      </c>
      <c r="G344">
        <v>3.1</v>
      </c>
      <c r="H344" s="4"/>
    </row>
    <row r="345" spans="1:8">
      <c r="A345" t="s">
        <v>20</v>
      </c>
      <c r="B345" t="s">
        <v>21</v>
      </c>
      <c r="C345" t="s">
        <v>22</v>
      </c>
      <c r="D345" s="4"/>
      <c r="E345">
        <v>414.77</v>
      </c>
      <c r="F345">
        <v>40</v>
      </c>
      <c r="G345">
        <v>374.77</v>
      </c>
      <c r="H345" s="4"/>
    </row>
    <row r="346" spans="1:8">
      <c r="A346" t="s">
        <v>20</v>
      </c>
      <c r="B346" t="s">
        <v>21</v>
      </c>
      <c r="C346" t="s">
        <v>22</v>
      </c>
      <c r="D346" s="4"/>
      <c r="E346">
        <v>78.099999999999994</v>
      </c>
      <c r="F346">
        <v>40</v>
      </c>
      <c r="G346">
        <v>38.1</v>
      </c>
      <c r="H346" s="4"/>
    </row>
    <row r="347" spans="1:8">
      <c r="A347" t="s">
        <v>20</v>
      </c>
      <c r="B347" t="s">
        <v>21</v>
      </c>
      <c r="C347" t="s">
        <v>22</v>
      </c>
      <c r="D347" s="4"/>
      <c r="E347">
        <v>98.1</v>
      </c>
      <c r="F347">
        <v>40</v>
      </c>
      <c r="G347">
        <v>58.1</v>
      </c>
      <c r="H347" s="4"/>
    </row>
    <row r="348" spans="1:8">
      <c r="A348" t="s">
        <v>20</v>
      </c>
      <c r="B348" t="s">
        <v>21</v>
      </c>
      <c r="C348" t="s">
        <v>22</v>
      </c>
      <c r="D348" s="4"/>
      <c r="E348">
        <v>209.21</v>
      </c>
      <c r="F348">
        <v>40</v>
      </c>
      <c r="G348">
        <v>169.21</v>
      </c>
      <c r="H348" s="4"/>
    </row>
    <row r="349" spans="1:8">
      <c r="A349" t="s">
        <v>20</v>
      </c>
      <c r="B349" t="s">
        <v>21</v>
      </c>
      <c r="C349" t="s">
        <v>22</v>
      </c>
      <c r="D349" s="4"/>
      <c r="E349">
        <v>214.76</v>
      </c>
      <c r="F349">
        <v>40</v>
      </c>
      <c r="G349">
        <v>174.76</v>
      </c>
      <c r="H349" s="4"/>
    </row>
    <row r="350" spans="1:8">
      <c r="A350" t="s">
        <v>20</v>
      </c>
      <c r="B350" t="s">
        <v>21</v>
      </c>
      <c r="C350" t="s">
        <v>22</v>
      </c>
      <c r="D350" s="4"/>
      <c r="E350">
        <v>498.1</v>
      </c>
      <c r="F350">
        <v>40</v>
      </c>
      <c r="G350">
        <v>458.1</v>
      </c>
      <c r="H350" s="4"/>
    </row>
    <row r="351" spans="1:8">
      <c r="A351" t="s">
        <v>20</v>
      </c>
      <c r="B351" t="s">
        <v>21</v>
      </c>
      <c r="C351" t="s">
        <v>22</v>
      </c>
      <c r="D351" s="4"/>
      <c r="E351">
        <v>948.1</v>
      </c>
      <c r="F351">
        <v>73</v>
      </c>
      <c r="G351">
        <v>875.1</v>
      </c>
      <c r="H351" s="4"/>
    </row>
    <row r="352" spans="1:8">
      <c r="A352" t="s">
        <v>20</v>
      </c>
      <c r="B352" t="s">
        <v>21</v>
      </c>
      <c r="C352" t="s">
        <v>22</v>
      </c>
      <c r="D352" s="4"/>
      <c r="E352">
        <v>353.1</v>
      </c>
      <c r="F352">
        <v>40</v>
      </c>
      <c r="G352">
        <v>313.10000000000002</v>
      </c>
      <c r="H352" s="4"/>
    </row>
    <row r="353" spans="1:8">
      <c r="A353" t="s">
        <v>20</v>
      </c>
      <c r="B353" t="s">
        <v>21</v>
      </c>
      <c r="C353" t="s">
        <v>22</v>
      </c>
      <c r="D353" s="4"/>
      <c r="E353">
        <v>214.76</v>
      </c>
      <c r="F353">
        <v>40</v>
      </c>
      <c r="G353">
        <v>174.76</v>
      </c>
      <c r="H353" s="4"/>
    </row>
    <row r="354" spans="1:8">
      <c r="A354" t="s">
        <v>20</v>
      </c>
      <c r="B354" t="s">
        <v>21</v>
      </c>
      <c r="C354" t="s">
        <v>22</v>
      </c>
      <c r="D354" s="4"/>
      <c r="E354">
        <v>33.1</v>
      </c>
      <c r="F354">
        <v>40</v>
      </c>
      <c r="G354">
        <v>0</v>
      </c>
      <c r="H354" s="4"/>
    </row>
    <row r="355" spans="1:8">
      <c r="A355" t="s">
        <v>20</v>
      </c>
      <c r="B355" t="s">
        <v>21</v>
      </c>
      <c r="C355" t="s">
        <v>22</v>
      </c>
      <c r="D355" s="4"/>
      <c r="E355">
        <v>648.1</v>
      </c>
      <c r="F355">
        <v>49.9</v>
      </c>
      <c r="G355">
        <v>598.20000000000005</v>
      </c>
      <c r="H355" s="4"/>
    </row>
    <row r="356" spans="1:8">
      <c r="A356" t="s">
        <v>20</v>
      </c>
      <c r="B356" t="s">
        <v>21</v>
      </c>
      <c r="C356" t="s">
        <v>22</v>
      </c>
      <c r="D356" s="4"/>
      <c r="E356">
        <v>138.1</v>
      </c>
      <c r="F356">
        <v>40</v>
      </c>
      <c r="G356">
        <v>98.1</v>
      </c>
      <c r="H356" s="4"/>
    </row>
    <row r="357" spans="1:8">
      <c r="A357" t="s">
        <v>20</v>
      </c>
      <c r="B357" t="s">
        <v>21</v>
      </c>
      <c r="C357" t="s">
        <v>22</v>
      </c>
      <c r="D357" s="4"/>
      <c r="E357">
        <v>398.1</v>
      </c>
      <c r="F357">
        <v>40</v>
      </c>
      <c r="G357">
        <v>358.1</v>
      </c>
      <c r="H357" s="4"/>
    </row>
    <row r="358" spans="1:8">
      <c r="A358" t="s">
        <v>20</v>
      </c>
      <c r="B358" t="s">
        <v>21</v>
      </c>
      <c r="C358" t="s">
        <v>22</v>
      </c>
      <c r="D358" s="4"/>
      <c r="E358">
        <v>523.1</v>
      </c>
      <c r="F358">
        <v>40</v>
      </c>
      <c r="G358">
        <v>483.1</v>
      </c>
      <c r="H358" s="4"/>
    </row>
    <row r="359" spans="1:8">
      <c r="A359" t="s">
        <v>20</v>
      </c>
      <c r="B359" t="s">
        <v>21</v>
      </c>
      <c r="C359" t="s">
        <v>22</v>
      </c>
      <c r="D359" s="4"/>
      <c r="E359">
        <v>209.21</v>
      </c>
      <c r="F359">
        <v>40</v>
      </c>
      <c r="G359">
        <v>169.21</v>
      </c>
      <c r="H359" s="4"/>
    </row>
    <row r="360" spans="1:8">
      <c r="A360" t="s">
        <v>20</v>
      </c>
      <c r="B360" t="s">
        <v>21</v>
      </c>
      <c r="C360" t="s">
        <v>22</v>
      </c>
      <c r="D360" s="4"/>
      <c r="E360">
        <v>348.1</v>
      </c>
      <c r="F360">
        <v>40</v>
      </c>
      <c r="G360">
        <v>308.10000000000002</v>
      </c>
      <c r="H360" s="4"/>
    </row>
    <row r="361" spans="1:8">
      <c r="A361" t="s">
        <v>20</v>
      </c>
      <c r="B361" t="s">
        <v>21</v>
      </c>
      <c r="C361" t="s">
        <v>22</v>
      </c>
      <c r="D361" s="4"/>
      <c r="E361">
        <v>98.1</v>
      </c>
      <c r="F361">
        <v>40</v>
      </c>
      <c r="G361">
        <v>58.1</v>
      </c>
      <c r="H361" s="4"/>
    </row>
    <row r="362" spans="1:8">
      <c r="A362" t="s">
        <v>20</v>
      </c>
      <c r="B362" t="s">
        <v>21</v>
      </c>
      <c r="C362" t="s">
        <v>22</v>
      </c>
      <c r="D362" s="4"/>
      <c r="E362">
        <v>143.1</v>
      </c>
      <c r="F362">
        <v>40</v>
      </c>
      <c r="G362">
        <v>103.1</v>
      </c>
      <c r="H362" s="4"/>
    </row>
    <row r="363" spans="1:8">
      <c r="A363" t="s">
        <v>20</v>
      </c>
      <c r="B363" t="s">
        <v>21</v>
      </c>
      <c r="C363" t="s">
        <v>22</v>
      </c>
      <c r="D363" s="4"/>
      <c r="E363">
        <v>359.21</v>
      </c>
      <c r="F363">
        <v>40</v>
      </c>
      <c r="G363">
        <v>319.20999999999998</v>
      </c>
      <c r="H363" s="4"/>
    </row>
    <row r="364" spans="1:8">
      <c r="A364" t="s">
        <v>20</v>
      </c>
      <c r="B364" t="s">
        <v>21</v>
      </c>
      <c r="C364" t="s">
        <v>22</v>
      </c>
      <c r="D364" s="4"/>
      <c r="E364">
        <v>203.93</v>
      </c>
      <c r="F364">
        <v>40</v>
      </c>
      <c r="G364">
        <v>163.93</v>
      </c>
      <c r="H364" s="4"/>
    </row>
    <row r="365" spans="1:8">
      <c r="A365" t="s">
        <v>20</v>
      </c>
      <c r="B365" t="s">
        <v>21</v>
      </c>
      <c r="C365" t="s">
        <v>22</v>
      </c>
      <c r="D365" s="4"/>
      <c r="E365">
        <v>198.1</v>
      </c>
      <c r="F365">
        <v>40</v>
      </c>
      <c r="G365">
        <v>158.1</v>
      </c>
      <c r="H365" s="4"/>
    </row>
    <row r="366" spans="1:8">
      <c r="A366" t="s">
        <v>20</v>
      </c>
      <c r="B366" t="s">
        <v>21</v>
      </c>
      <c r="C366" t="s">
        <v>22</v>
      </c>
      <c r="D366" s="4"/>
      <c r="E366">
        <v>98.1</v>
      </c>
      <c r="F366">
        <v>40</v>
      </c>
      <c r="G366">
        <v>58.1</v>
      </c>
      <c r="H366" s="4"/>
    </row>
    <row r="367" spans="1:8">
      <c r="A367" t="s">
        <v>20</v>
      </c>
      <c r="B367" t="s">
        <v>21</v>
      </c>
      <c r="C367" t="s">
        <v>22</v>
      </c>
      <c r="D367" s="4"/>
      <c r="E367">
        <v>460.6</v>
      </c>
      <c r="F367">
        <v>40</v>
      </c>
      <c r="G367">
        <v>420.6</v>
      </c>
      <c r="H367" s="4"/>
    </row>
    <row r="368" spans="1:8">
      <c r="A368" t="s">
        <v>20</v>
      </c>
      <c r="B368" t="s">
        <v>21</v>
      </c>
      <c r="C368" t="s">
        <v>22</v>
      </c>
      <c r="D368" s="4"/>
      <c r="E368">
        <v>213.93</v>
      </c>
      <c r="F368">
        <v>40</v>
      </c>
      <c r="G368">
        <v>173.93</v>
      </c>
      <c r="H368" s="4"/>
    </row>
    <row r="369" spans="1:8">
      <c r="A369" t="s">
        <v>20</v>
      </c>
      <c r="B369" t="s">
        <v>21</v>
      </c>
      <c r="C369" t="s">
        <v>22</v>
      </c>
      <c r="D369" s="4"/>
      <c r="E369">
        <v>467.6</v>
      </c>
      <c r="F369">
        <v>40</v>
      </c>
      <c r="G369">
        <v>427.6</v>
      </c>
      <c r="H369" s="4"/>
    </row>
    <row r="370" spans="1:8">
      <c r="A370" t="s">
        <v>20</v>
      </c>
      <c r="B370" t="s">
        <v>21</v>
      </c>
      <c r="C370" t="s">
        <v>22</v>
      </c>
      <c r="D370" s="4"/>
      <c r="E370">
        <v>317.48</v>
      </c>
      <c r="F370">
        <v>40</v>
      </c>
      <c r="G370">
        <v>277.48</v>
      </c>
      <c r="H370" s="4"/>
    </row>
    <row r="371" spans="1:8">
      <c r="A371" t="s">
        <v>20</v>
      </c>
      <c r="B371" t="s">
        <v>21</v>
      </c>
      <c r="C371" t="s">
        <v>22</v>
      </c>
      <c r="D371" s="4"/>
      <c r="E371">
        <v>361.74</v>
      </c>
      <c r="F371">
        <v>40</v>
      </c>
      <c r="G371">
        <v>321.74</v>
      </c>
      <c r="H371" s="4"/>
    </row>
    <row r="372" spans="1:8">
      <c r="A372" t="s">
        <v>20</v>
      </c>
      <c r="B372" t="s">
        <v>21</v>
      </c>
      <c r="C372" t="s">
        <v>22</v>
      </c>
      <c r="D372" s="4"/>
      <c r="E372">
        <v>33.1</v>
      </c>
      <c r="F372">
        <v>40</v>
      </c>
      <c r="G372">
        <v>0</v>
      </c>
      <c r="H372" s="4"/>
    </row>
    <row r="373" spans="1:8">
      <c r="A373" t="s">
        <v>20</v>
      </c>
      <c r="B373" t="s">
        <v>21</v>
      </c>
      <c r="C373" t="s">
        <v>22</v>
      </c>
      <c r="D373" s="4"/>
      <c r="E373">
        <v>43.1</v>
      </c>
      <c r="F373">
        <v>40</v>
      </c>
      <c r="G373">
        <v>3.1</v>
      </c>
      <c r="H373" s="4"/>
    </row>
    <row r="374" spans="1:8">
      <c r="A374" t="s">
        <v>20</v>
      </c>
      <c r="B374" t="s">
        <v>21</v>
      </c>
      <c r="C374" t="s">
        <v>22</v>
      </c>
      <c r="D374" s="4"/>
      <c r="E374">
        <v>243.1</v>
      </c>
      <c r="F374">
        <v>40</v>
      </c>
      <c r="G374">
        <v>203.1</v>
      </c>
      <c r="H374" s="4"/>
    </row>
    <row r="375" spans="1:8">
      <c r="A375" t="s">
        <v>20</v>
      </c>
      <c r="B375" t="s">
        <v>21</v>
      </c>
      <c r="C375" t="s">
        <v>22</v>
      </c>
      <c r="D375" s="4"/>
      <c r="E375">
        <v>210.96</v>
      </c>
      <c r="F375">
        <v>40</v>
      </c>
      <c r="G375">
        <v>170.96</v>
      </c>
      <c r="H375" s="4"/>
    </row>
    <row r="376" spans="1:8">
      <c r="A376" t="s">
        <v>20</v>
      </c>
      <c r="B376" t="s">
        <v>21</v>
      </c>
      <c r="C376" t="s">
        <v>22</v>
      </c>
      <c r="D376" s="4"/>
      <c r="E376">
        <v>398.1</v>
      </c>
      <c r="F376">
        <v>40</v>
      </c>
      <c r="G376">
        <v>358.1</v>
      </c>
      <c r="H376" s="4"/>
    </row>
    <row r="377" spans="1:8">
      <c r="A377" t="s">
        <v>20</v>
      </c>
      <c r="B377" t="s">
        <v>21</v>
      </c>
      <c r="C377" t="s">
        <v>22</v>
      </c>
      <c r="D377" s="4"/>
      <c r="E377">
        <v>203.1</v>
      </c>
      <c r="F377">
        <v>40</v>
      </c>
      <c r="G377">
        <v>163.1</v>
      </c>
      <c r="H377" s="4"/>
    </row>
    <row r="378" spans="1:8">
      <c r="A378" t="s">
        <v>20</v>
      </c>
      <c r="B378" t="s">
        <v>21</v>
      </c>
      <c r="C378" t="s">
        <v>22</v>
      </c>
      <c r="D378" s="4"/>
      <c r="E378">
        <v>289.77</v>
      </c>
      <c r="F378">
        <v>40</v>
      </c>
      <c r="G378">
        <v>249.77</v>
      </c>
      <c r="H378" s="4"/>
    </row>
    <row r="379" spans="1:8">
      <c r="A379" t="s">
        <v>20</v>
      </c>
      <c r="B379" t="s">
        <v>21</v>
      </c>
      <c r="C379" t="s">
        <v>22</v>
      </c>
      <c r="D379" s="4"/>
      <c r="E379">
        <v>537.67999999999995</v>
      </c>
      <c r="F379">
        <v>41.4</v>
      </c>
      <c r="G379">
        <v>496.28</v>
      </c>
      <c r="H379" s="4"/>
    </row>
    <row r="380" spans="1:8">
      <c r="A380" t="s">
        <v>20</v>
      </c>
      <c r="B380" t="s">
        <v>21</v>
      </c>
      <c r="C380" t="s">
        <v>22</v>
      </c>
      <c r="D380" s="4"/>
      <c r="E380">
        <v>498.1</v>
      </c>
      <c r="F380">
        <v>40</v>
      </c>
      <c r="G380">
        <v>458.1</v>
      </c>
      <c r="H380" s="4"/>
    </row>
    <row r="381" spans="1:8">
      <c r="A381" t="s">
        <v>20</v>
      </c>
      <c r="B381" t="s">
        <v>21</v>
      </c>
      <c r="C381" t="s">
        <v>22</v>
      </c>
      <c r="D381" s="4"/>
      <c r="E381">
        <v>706.43</v>
      </c>
      <c r="F381">
        <v>59.34</v>
      </c>
      <c r="G381">
        <v>647.09</v>
      </c>
      <c r="H381" s="4"/>
    </row>
    <row r="382" spans="1:8">
      <c r="A382" t="s">
        <v>20</v>
      </c>
      <c r="B382" t="s">
        <v>21</v>
      </c>
      <c r="C382" t="s">
        <v>22</v>
      </c>
      <c r="D382" s="4"/>
      <c r="E382">
        <v>43.1</v>
      </c>
      <c r="F382">
        <v>40</v>
      </c>
      <c r="G382">
        <v>3.1</v>
      </c>
      <c r="H382" s="4"/>
    </row>
    <row r="383" spans="1:8">
      <c r="A383" t="s">
        <v>20</v>
      </c>
      <c r="B383" t="s">
        <v>21</v>
      </c>
      <c r="C383" t="s">
        <v>22</v>
      </c>
      <c r="D383" s="4"/>
      <c r="E383">
        <v>98.1</v>
      </c>
      <c r="F383">
        <v>40</v>
      </c>
      <c r="G383">
        <v>58.1</v>
      </c>
      <c r="H383" s="4"/>
    </row>
    <row r="384" spans="1:8">
      <c r="A384" t="s">
        <v>20</v>
      </c>
      <c r="B384" t="s">
        <v>21</v>
      </c>
      <c r="C384" t="s">
        <v>22</v>
      </c>
      <c r="D384" s="4"/>
      <c r="E384">
        <v>581.42999999999995</v>
      </c>
      <c r="F384">
        <v>40</v>
      </c>
      <c r="G384">
        <v>541.42999999999995</v>
      </c>
      <c r="H384" s="4"/>
    </row>
    <row r="385" spans="1:8">
      <c r="A385" t="s">
        <v>20</v>
      </c>
      <c r="B385" t="s">
        <v>21</v>
      </c>
      <c r="C385" t="s">
        <v>22</v>
      </c>
      <c r="D385" s="4"/>
      <c r="E385">
        <v>98.1</v>
      </c>
      <c r="F385">
        <v>40</v>
      </c>
      <c r="G385">
        <v>58.1</v>
      </c>
      <c r="H385" s="4"/>
    </row>
    <row r="386" spans="1:8">
      <c r="A386" t="s">
        <v>20</v>
      </c>
      <c r="B386" t="s">
        <v>21</v>
      </c>
      <c r="C386" t="s">
        <v>22</v>
      </c>
      <c r="D386" s="4"/>
      <c r="E386">
        <v>210.6</v>
      </c>
      <c r="F386">
        <v>40</v>
      </c>
      <c r="G386">
        <v>170.6</v>
      </c>
      <c r="H386" s="4"/>
    </row>
    <row r="387" spans="1:8">
      <c r="A387" t="s">
        <v>20</v>
      </c>
      <c r="B387" t="s">
        <v>21</v>
      </c>
      <c r="C387" t="s">
        <v>22</v>
      </c>
      <c r="D387" s="4"/>
      <c r="E387">
        <v>285.60000000000002</v>
      </c>
      <c r="F387">
        <v>40</v>
      </c>
      <c r="G387">
        <v>245.6</v>
      </c>
      <c r="H387" s="4"/>
    </row>
    <row r="388" spans="1:8">
      <c r="A388" t="s">
        <v>20</v>
      </c>
      <c r="B388" t="s">
        <v>21</v>
      </c>
      <c r="C388" t="s">
        <v>22</v>
      </c>
      <c r="D388" s="4"/>
      <c r="E388">
        <v>211.6</v>
      </c>
      <c r="F388">
        <v>40</v>
      </c>
      <c r="G388">
        <v>171.6</v>
      </c>
      <c r="H388" s="4"/>
    </row>
    <row r="389" spans="1:8">
      <c r="A389" t="s">
        <v>20</v>
      </c>
      <c r="B389" t="s">
        <v>21</v>
      </c>
      <c r="C389" t="s">
        <v>22</v>
      </c>
      <c r="D389" s="4"/>
      <c r="E389">
        <v>251.43</v>
      </c>
      <c r="F389">
        <v>40</v>
      </c>
      <c r="G389">
        <v>211.43</v>
      </c>
      <c r="H389" s="4"/>
    </row>
    <row r="390" spans="1:8">
      <c r="A390" t="s">
        <v>20</v>
      </c>
      <c r="B390" t="s">
        <v>21</v>
      </c>
      <c r="C390" t="s">
        <v>22</v>
      </c>
      <c r="D390" s="4"/>
      <c r="E390">
        <v>198.1</v>
      </c>
      <c r="F390">
        <v>40</v>
      </c>
      <c r="G390">
        <v>158.1</v>
      </c>
      <c r="H390" s="4"/>
    </row>
    <row r="391" spans="1:8">
      <c r="A391" t="s">
        <v>20</v>
      </c>
      <c r="B391" t="s">
        <v>21</v>
      </c>
      <c r="C391" t="s">
        <v>22</v>
      </c>
      <c r="D391" s="4"/>
      <c r="E391">
        <v>331.43</v>
      </c>
      <c r="F391">
        <v>40</v>
      </c>
      <c r="G391">
        <v>291.43</v>
      </c>
      <c r="H391" s="4"/>
    </row>
    <row r="392" spans="1:8">
      <c r="A392" t="s">
        <v>20</v>
      </c>
      <c r="B392" t="s">
        <v>21</v>
      </c>
      <c r="C392" t="s">
        <v>22</v>
      </c>
      <c r="D392" s="4"/>
      <c r="E392">
        <v>623.1</v>
      </c>
      <c r="F392">
        <v>47.98</v>
      </c>
      <c r="G392">
        <v>575.12</v>
      </c>
      <c r="H392" s="4"/>
    </row>
    <row r="393" spans="1:8">
      <c r="A393" t="s">
        <v>20</v>
      </c>
      <c r="B393" t="s">
        <v>21</v>
      </c>
      <c r="C393" t="s">
        <v>22</v>
      </c>
      <c r="D393" s="4"/>
      <c r="E393">
        <v>564.77</v>
      </c>
      <c r="F393">
        <v>40</v>
      </c>
      <c r="G393">
        <v>524.77</v>
      </c>
      <c r="H393" s="4"/>
    </row>
    <row r="394" spans="1:8">
      <c r="A394" t="s">
        <v>20</v>
      </c>
      <c r="B394" t="s">
        <v>21</v>
      </c>
      <c r="C394" t="s">
        <v>22</v>
      </c>
      <c r="D394" s="4"/>
      <c r="E394">
        <v>673.76</v>
      </c>
      <c r="F394">
        <v>40</v>
      </c>
      <c r="G394">
        <v>633.76</v>
      </c>
      <c r="H394" s="4"/>
    </row>
    <row r="395" spans="1:8">
      <c r="A395" t="s">
        <v>20</v>
      </c>
      <c r="B395" t="s">
        <v>21</v>
      </c>
      <c r="C395" t="s">
        <v>22</v>
      </c>
      <c r="D395" s="4"/>
      <c r="E395">
        <v>98.1</v>
      </c>
      <c r="F395">
        <v>40</v>
      </c>
      <c r="G395">
        <v>58.1</v>
      </c>
      <c r="H395" s="4"/>
    </row>
    <row r="396" spans="1:8">
      <c r="A396" t="s">
        <v>20</v>
      </c>
      <c r="B396" t="s">
        <v>21</v>
      </c>
      <c r="C396" t="s">
        <v>22</v>
      </c>
      <c r="D396" s="4"/>
      <c r="E396">
        <v>226.23</v>
      </c>
      <c r="F396">
        <v>40</v>
      </c>
      <c r="G396">
        <v>186.23</v>
      </c>
      <c r="H396" s="4"/>
    </row>
    <row r="397" spans="1:8">
      <c r="A397" t="s">
        <v>20</v>
      </c>
      <c r="B397" t="s">
        <v>21</v>
      </c>
      <c r="C397" t="s">
        <v>22</v>
      </c>
      <c r="D397" s="4"/>
      <c r="E397">
        <v>331.43</v>
      </c>
      <c r="F397">
        <v>40</v>
      </c>
      <c r="G397">
        <v>291.43</v>
      </c>
      <c r="H397" s="4"/>
    </row>
    <row r="398" spans="1:8">
      <c r="A398" t="s">
        <v>20</v>
      </c>
      <c r="B398" t="s">
        <v>21</v>
      </c>
      <c r="C398" t="s">
        <v>22</v>
      </c>
      <c r="D398" s="4"/>
      <c r="E398">
        <v>208.1</v>
      </c>
      <c r="F398">
        <v>40</v>
      </c>
      <c r="G398">
        <v>168.1</v>
      </c>
      <c r="H398" s="4"/>
    </row>
    <row r="399" spans="1:8">
      <c r="A399" t="s">
        <v>20</v>
      </c>
      <c r="B399" t="s">
        <v>21</v>
      </c>
      <c r="C399" t="s">
        <v>22</v>
      </c>
      <c r="D399" s="4"/>
      <c r="E399">
        <v>394.01</v>
      </c>
      <c r="F399">
        <v>40</v>
      </c>
      <c r="G399">
        <v>354.01</v>
      </c>
      <c r="H399" s="4"/>
    </row>
    <row r="400" spans="1:8">
      <c r="A400" t="s">
        <v>20</v>
      </c>
      <c r="B400" t="s">
        <v>21</v>
      </c>
      <c r="C400" t="s">
        <v>22</v>
      </c>
      <c r="D400" s="4"/>
      <c r="E400">
        <v>206.43</v>
      </c>
      <c r="F400">
        <v>40</v>
      </c>
      <c r="G400">
        <v>166.43</v>
      </c>
      <c r="H400" s="4"/>
    </row>
    <row r="401" spans="1:8">
      <c r="A401" t="s">
        <v>20</v>
      </c>
      <c r="B401" t="s">
        <v>21</v>
      </c>
      <c r="C401" t="s">
        <v>22</v>
      </c>
      <c r="D401" s="4"/>
      <c r="E401">
        <v>361.17</v>
      </c>
      <c r="F401">
        <v>40</v>
      </c>
      <c r="G401">
        <v>321.17</v>
      </c>
      <c r="H401" s="4"/>
    </row>
    <row r="402" spans="1:8">
      <c r="A402" t="s">
        <v>20</v>
      </c>
      <c r="B402" t="s">
        <v>21</v>
      </c>
      <c r="C402" t="s">
        <v>22</v>
      </c>
      <c r="D402" s="4"/>
      <c r="E402">
        <v>78.099999999999994</v>
      </c>
      <c r="F402">
        <v>40</v>
      </c>
      <c r="G402">
        <v>38.1</v>
      </c>
      <c r="H402" s="4"/>
    </row>
    <row r="403" spans="1:8">
      <c r="A403" t="s">
        <v>20</v>
      </c>
      <c r="B403" t="s">
        <v>21</v>
      </c>
      <c r="C403" t="s">
        <v>22</v>
      </c>
      <c r="D403" s="4"/>
      <c r="E403">
        <v>143.1</v>
      </c>
      <c r="F403">
        <v>40</v>
      </c>
      <c r="G403">
        <v>103.1</v>
      </c>
      <c r="H403" s="4"/>
    </row>
    <row r="404" spans="1:8">
      <c r="A404" t="s">
        <v>20</v>
      </c>
      <c r="B404" t="s">
        <v>21</v>
      </c>
      <c r="C404" t="s">
        <v>22</v>
      </c>
      <c r="D404" s="4"/>
      <c r="E404">
        <v>1031.43</v>
      </c>
      <c r="F404">
        <v>79.42</v>
      </c>
      <c r="G404">
        <v>952.01</v>
      </c>
      <c r="H404" s="4"/>
    </row>
    <row r="405" spans="1:8">
      <c r="A405" t="s">
        <v>20</v>
      </c>
      <c r="B405" t="s">
        <v>21</v>
      </c>
      <c r="C405" t="s">
        <v>22</v>
      </c>
      <c r="D405" s="4"/>
      <c r="E405">
        <v>648.1</v>
      </c>
      <c r="F405">
        <v>49.9</v>
      </c>
      <c r="G405">
        <v>598.20000000000005</v>
      </c>
      <c r="H405" s="4"/>
    </row>
    <row r="406" spans="1:8">
      <c r="A406" t="s">
        <v>20</v>
      </c>
      <c r="B406" t="s">
        <v>21</v>
      </c>
      <c r="C406" t="s">
        <v>22</v>
      </c>
      <c r="D406" s="4"/>
      <c r="E406">
        <v>211.43</v>
      </c>
      <c r="F406">
        <v>40</v>
      </c>
      <c r="G406">
        <v>171.43</v>
      </c>
      <c r="H406" s="4"/>
    </row>
    <row r="407" spans="1:8">
      <c r="A407" t="s">
        <v>20</v>
      </c>
      <c r="B407" t="s">
        <v>21</v>
      </c>
      <c r="C407" t="s">
        <v>22</v>
      </c>
      <c r="D407" s="4"/>
      <c r="E407">
        <v>362.01</v>
      </c>
      <c r="F407">
        <v>40</v>
      </c>
      <c r="G407">
        <v>322.01</v>
      </c>
      <c r="H407" s="4"/>
    </row>
    <row r="408" spans="1:8">
      <c r="A408" t="s">
        <v>20</v>
      </c>
      <c r="B408" t="s">
        <v>21</v>
      </c>
      <c r="C408" t="s">
        <v>22</v>
      </c>
      <c r="D408" s="4"/>
      <c r="E408">
        <v>335.1</v>
      </c>
      <c r="F408">
        <v>40</v>
      </c>
      <c r="G408">
        <v>295.10000000000002</v>
      </c>
      <c r="H408" s="4"/>
    </row>
    <row r="409" spans="1:8">
      <c r="A409" t="s">
        <v>20</v>
      </c>
      <c r="B409" t="s">
        <v>21</v>
      </c>
      <c r="C409" t="s">
        <v>22</v>
      </c>
      <c r="D409" s="4"/>
      <c r="E409">
        <v>235.6</v>
      </c>
      <c r="F409">
        <v>40</v>
      </c>
      <c r="G409">
        <v>195.6</v>
      </c>
      <c r="H409" s="4"/>
    </row>
    <row r="410" spans="1:8">
      <c r="A410" t="s">
        <v>20</v>
      </c>
      <c r="B410" t="s">
        <v>21</v>
      </c>
      <c r="C410" t="s">
        <v>22</v>
      </c>
      <c r="D410" s="4"/>
      <c r="E410">
        <v>108.1</v>
      </c>
      <c r="F410">
        <v>40</v>
      </c>
      <c r="G410">
        <v>68.099999999999994</v>
      </c>
      <c r="H410" s="4"/>
    </row>
    <row r="411" spans="1:8">
      <c r="A411" t="s">
        <v>20</v>
      </c>
      <c r="B411" t="s">
        <v>21</v>
      </c>
      <c r="C411" t="s">
        <v>22</v>
      </c>
      <c r="D411" s="4"/>
      <c r="E411">
        <v>498.1</v>
      </c>
      <c r="F411">
        <v>40</v>
      </c>
      <c r="G411">
        <v>458.1</v>
      </c>
      <c r="H411" s="4"/>
    </row>
    <row r="412" spans="1:8">
      <c r="A412" t="s">
        <v>20</v>
      </c>
      <c r="B412" t="s">
        <v>21</v>
      </c>
      <c r="C412" t="s">
        <v>22</v>
      </c>
      <c r="D412" s="4"/>
      <c r="E412">
        <v>98.1</v>
      </c>
      <c r="F412">
        <v>40</v>
      </c>
      <c r="G412">
        <v>58.1</v>
      </c>
      <c r="H412" s="4"/>
    </row>
    <row r="413" spans="1:8">
      <c r="A413" t="s">
        <v>20</v>
      </c>
      <c r="B413" t="s">
        <v>21</v>
      </c>
      <c r="C413" t="s">
        <v>22</v>
      </c>
      <c r="D413" s="4"/>
      <c r="E413">
        <v>223.1</v>
      </c>
      <c r="F413">
        <v>40</v>
      </c>
      <c r="G413">
        <v>183.1</v>
      </c>
      <c r="H413" s="4"/>
    </row>
    <row r="414" spans="1:8">
      <c r="A414" t="s">
        <v>20</v>
      </c>
      <c r="B414" t="s">
        <v>21</v>
      </c>
      <c r="C414" t="s">
        <v>22</v>
      </c>
      <c r="D414" s="4"/>
      <c r="E414">
        <v>258.10000000000002</v>
      </c>
      <c r="F414">
        <v>40</v>
      </c>
      <c r="G414">
        <v>218.1</v>
      </c>
      <c r="H414" s="4"/>
    </row>
    <row r="415" spans="1:8">
      <c r="A415" t="s">
        <v>20</v>
      </c>
      <c r="B415" t="s">
        <v>21</v>
      </c>
      <c r="C415" t="s">
        <v>22</v>
      </c>
      <c r="D415" s="4"/>
      <c r="E415">
        <v>498.1</v>
      </c>
      <c r="F415">
        <v>40</v>
      </c>
      <c r="G415">
        <v>458.1</v>
      </c>
      <c r="H415" s="4"/>
    </row>
    <row r="416" spans="1:8">
      <c r="A416" t="s">
        <v>20</v>
      </c>
      <c r="B416" t="s">
        <v>21</v>
      </c>
      <c r="C416" t="s">
        <v>22</v>
      </c>
      <c r="D416" s="4"/>
      <c r="E416">
        <v>281.43</v>
      </c>
      <c r="F416">
        <v>40</v>
      </c>
      <c r="G416">
        <v>241.43</v>
      </c>
      <c r="H416" s="4"/>
    </row>
    <row r="417" spans="1:8">
      <c r="A417" t="s">
        <v>20</v>
      </c>
      <c r="B417" t="s">
        <v>21</v>
      </c>
      <c r="C417" t="s">
        <v>22</v>
      </c>
      <c r="D417" s="4"/>
      <c r="E417">
        <v>78.099999999999994</v>
      </c>
      <c r="F417">
        <v>40</v>
      </c>
      <c r="G417">
        <v>38.1</v>
      </c>
      <c r="H417" s="4"/>
    </row>
    <row r="418" spans="1:8">
      <c r="A418" t="s">
        <v>20</v>
      </c>
      <c r="B418" t="s">
        <v>21</v>
      </c>
      <c r="C418" t="s">
        <v>22</v>
      </c>
      <c r="D418" s="4"/>
      <c r="E418">
        <v>78.099999999999994</v>
      </c>
      <c r="F418">
        <v>40</v>
      </c>
      <c r="G418">
        <v>38.1</v>
      </c>
      <c r="H418" s="4"/>
    </row>
    <row r="419" spans="1:8">
      <c r="A419" t="s">
        <v>23</v>
      </c>
      <c r="B419" t="s">
        <v>24</v>
      </c>
      <c r="C419" t="s">
        <v>25</v>
      </c>
      <c r="D419" s="4">
        <v>46010</v>
      </c>
      <c r="E419">
        <v>831.43</v>
      </c>
      <c r="F419">
        <v>157.13999999999999</v>
      </c>
      <c r="G419">
        <v>674.29</v>
      </c>
      <c r="H419" s="4"/>
    </row>
    <row r="420" spans="1:8">
      <c r="A420" t="s">
        <v>23</v>
      </c>
      <c r="B420" t="s">
        <v>24</v>
      </c>
      <c r="C420" t="s">
        <v>25</v>
      </c>
      <c r="D420" s="4">
        <v>46010</v>
      </c>
      <c r="E420">
        <v>706.43</v>
      </c>
      <c r="F420">
        <v>133.52000000000001</v>
      </c>
      <c r="G420">
        <v>572.91</v>
      </c>
      <c r="H420" s="4"/>
    </row>
    <row r="421" spans="1:8">
      <c r="A421" t="s">
        <v>23</v>
      </c>
      <c r="B421" t="s">
        <v>24</v>
      </c>
      <c r="C421" t="s">
        <v>25</v>
      </c>
      <c r="D421" s="4">
        <v>46010</v>
      </c>
      <c r="E421">
        <v>623.1</v>
      </c>
      <c r="F421">
        <v>117.77</v>
      </c>
      <c r="G421">
        <v>505.33</v>
      </c>
      <c r="H421" s="4"/>
    </row>
    <row r="422" spans="1:8">
      <c r="A422" t="s">
        <v>23</v>
      </c>
      <c r="B422" t="s">
        <v>24</v>
      </c>
      <c r="C422" t="s">
        <v>25</v>
      </c>
      <c r="D422" s="4">
        <v>46010</v>
      </c>
      <c r="E422">
        <v>432.88</v>
      </c>
      <c r="F422">
        <v>81.81</v>
      </c>
      <c r="G422">
        <v>351.07</v>
      </c>
      <c r="H422" s="4"/>
    </row>
    <row r="423" spans="1:8">
      <c r="A423" t="s">
        <v>23</v>
      </c>
      <c r="B423" t="s">
        <v>24</v>
      </c>
      <c r="C423" t="s">
        <v>25</v>
      </c>
      <c r="D423" s="4">
        <v>46010</v>
      </c>
      <c r="E423">
        <v>831.43</v>
      </c>
      <c r="F423">
        <v>157.13999999999999</v>
      </c>
      <c r="G423">
        <v>674.29</v>
      </c>
      <c r="H423" s="4"/>
    </row>
    <row r="424" spans="1:8">
      <c r="A424" t="s">
        <v>23</v>
      </c>
      <c r="B424" t="s">
        <v>24</v>
      </c>
      <c r="C424" t="s">
        <v>25</v>
      </c>
      <c r="D424" s="4">
        <v>46010</v>
      </c>
      <c r="E424">
        <v>1998.1</v>
      </c>
      <c r="F424">
        <v>419.6</v>
      </c>
      <c r="G424">
        <v>1578.5</v>
      </c>
      <c r="H424" s="4"/>
    </row>
    <row r="425" spans="1:8">
      <c r="A425" t="s">
        <v>23</v>
      </c>
      <c r="B425" t="s">
        <v>24</v>
      </c>
      <c r="C425" t="s">
        <v>25</v>
      </c>
      <c r="D425" s="4">
        <v>46010</v>
      </c>
      <c r="E425">
        <v>498.1</v>
      </c>
      <c r="F425">
        <v>94.14</v>
      </c>
      <c r="G425">
        <v>403.96</v>
      </c>
      <c r="H425" s="4"/>
    </row>
    <row r="426" spans="1:8">
      <c r="A426" t="s">
        <v>23</v>
      </c>
      <c r="B426" t="s">
        <v>24</v>
      </c>
      <c r="C426" t="s">
        <v>25</v>
      </c>
      <c r="D426" s="4">
        <v>46010</v>
      </c>
      <c r="E426">
        <v>411.74</v>
      </c>
      <c r="F426">
        <v>77.819999999999993</v>
      </c>
      <c r="G426">
        <v>333.92</v>
      </c>
      <c r="H426" s="4"/>
    </row>
    <row r="427" spans="1:8">
      <c r="A427" t="s">
        <v>23</v>
      </c>
      <c r="B427" t="s">
        <v>24</v>
      </c>
      <c r="C427" t="s">
        <v>25</v>
      </c>
      <c r="D427" s="4">
        <v>46010</v>
      </c>
      <c r="E427">
        <v>414.77</v>
      </c>
      <c r="F427">
        <v>78.39</v>
      </c>
      <c r="G427">
        <v>336.38</v>
      </c>
      <c r="H427" s="4"/>
    </row>
    <row r="428" spans="1:8">
      <c r="A428" t="s">
        <v>23</v>
      </c>
      <c r="B428" t="s">
        <v>24</v>
      </c>
      <c r="C428" t="s">
        <v>25</v>
      </c>
      <c r="D428" s="4">
        <v>46010</v>
      </c>
      <c r="E428">
        <v>1433.1</v>
      </c>
      <c r="F428">
        <v>270.86</v>
      </c>
      <c r="G428">
        <v>1162.24</v>
      </c>
      <c r="H428" s="4"/>
    </row>
    <row r="429" spans="1:8">
      <c r="A429" t="s">
        <v>23</v>
      </c>
      <c r="B429" t="s">
        <v>24</v>
      </c>
      <c r="C429" t="s">
        <v>25</v>
      </c>
      <c r="D429" s="4">
        <v>46010</v>
      </c>
      <c r="E429">
        <v>558.1</v>
      </c>
      <c r="F429">
        <v>105.48</v>
      </c>
      <c r="G429">
        <v>452.62</v>
      </c>
      <c r="H429" s="4"/>
    </row>
    <row r="430" spans="1:8">
      <c r="A430" t="s">
        <v>23</v>
      </c>
      <c r="B430" t="s">
        <v>24</v>
      </c>
      <c r="C430" t="s">
        <v>25</v>
      </c>
      <c r="D430" s="4">
        <v>46010</v>
      </c>
      <c r="E430">
        <v>464.6</v>
      </c>
      <c r="F430">
        <v>87.81</v>
      </c>
      <c r="G430">
        <v>376.79</v>
      </c>
      <c r="H430" s="4"/>
    </row>
    <row r="431" spans="1:8">
      <c r="A431" t="s">
        <v>23</v>
      </c>
      <c r="B431" t="s">
        <v>24</v>
      </c>
      <c r="C431" t="s">
        <v>25</v>
      </c>
      <c r="D431" s="4">
        <v>46010</v>
      </c>
      <c r="E431">
        <v>602.27</v>
      </c>
      <c r="F431">
        <v>113.83</v>
      </c>
      <c r="G431">
        <v>488.44</v>
      </c>
      <c r="H431" s="4"/>
    </row>
    <row r="432" spans="1:8">
      <c r="A432" t="s">
        <v>23</v>
      </c>
      <c r="B432" t="s">
        <v>24</v>
      </c>
      <c r="C432" t="s">
        <v>25</v>
      </c>
      <c r="D432" s="4">
        <v>46010</v>
      </c>
      <c r="E432">
        <v>921.18</v>
      </c>
      <c r="F432">
        <v>193.45</v>
      </c>
      <c r="G432">
        <v>727.73</v>
      </c>
      <c r="H432" s="4"/>
    </row>
    <row r="433" spans="1:8">
      <c r="A433" t="s">
        <v>23</v>
      </c>
      <c r="B433" t="s">
        <v>24</v>
      </c>
      <c r="C433" t="s">
        <v>25</v>
      </c>
      <c r="D433" s="4">
        <v>46010</v>
      </c>
      <c r="E433">
        <v>383.1</v>
      </c>
      <c r="F433">
        <v>72.41</v>
      </c>
      <c r="G433">
        <v>310.69</v>
      </c>
      <c r="H433" s="4"/>
    </row>
    <row r="434" spans="1:8">
      <c r="A434" t="s">
        <v>23</v>
      </c>
      <c r="B434" t="s">
        <v>24</v>
      </c>
      <c r="C434" t="s">
        <v>25</v>
      </c>
      <c r="D434" s="4">
        <v>46010</v>
      </c>
      <c r="E434">
        <v>664.77</v>
      </c>
      <c r="F434">
        <v>125.64</v>
      </c>
      <c r="G434">
        <v>539.13</v>
      </c>
      <c r="H434" s="4"/>
    </row>
    <row r="435" spans="1:8">
      <c r="A435" t="s">
        <v>23</v>
      </c>
      <c r="B435" t="s">
        <v>24</v>
      </c>
      <c r="C435" t="s">
        <v>25</v>
      </c>
      <c r="D435" s="4">
        <v>46010</v>
      </c>
      <c r="E435">
        <v>998.1</v>
      </c>
      <c r="F435">
        <v>234.05</v>
      </c>
      <c r="G435">
        <v>764.05</v>
      </c>
      <c r="H435" s="4"/>
    </row>
    <row r="436" spans="1:8">
      <c r="A436" t="s">
        <v>23</v>
      </c>
      <c r="B436" t="s">
        <v>24</v>
      </c>
      <c r="C436" t="s">
        <v>25</v>
      </c>
      <c r="D436" s="4">
        <v>46010</v>
      </c>
      <c r="E436">
        <v>398.1</v>
      </c>
      <c r="F436">
        <v>75.239999999999995</v>
      </c>
      <c r="G436">
        <v>322.86</v>
      </c>
      <c r="H436" s="4"/>
    </row>
    <row r="437" spans="1:8">
      <c r="A437" t="s">
        <v>23</v>
      </c>
      <c r="B437" t="s">
        <v>24</v>
      </c>
      <c r="C437" t="s">
        <v>25</v>
      </c>
      <c r="D437" s="4">
        <v>46010</v>
      </c>
      <c r="E437">
        <v>764.77</v>
      </c>
      <c r="F437">
        <v>144.54</v>
      </c>
      <c r="G437">
        <v>620.23</v>
      </c>
      <c r="H437" s="4"/>
    </row>
    <row r="438" spans="1:8">
      <c r="A438" t="s">
        <v>23</v>
      </c>
      <c r="B438" t="s">
        <v>24</v>
      </c>
      <c r="C438" t="s">
        <v>25</v>
      </c>
      <c r="D438" s="4">
        <v>46010</v>
      </c>
      <c r="E438">
        <v>521.42999999999995</v>
      </c>
      <c r="F438">
        <v>98.55</v>
      </c>
      <c r="G438">
        <v>422.88</v>
      </c>
      <c r="H438" s="4"/>
    </row>
    <row r="439" spans="1:8">
      <c r="A439" t="s">
        <v>23</v>
      </c>
      <c r="B439" t="s">
        <v>24</v>
      </c>
      <c r="C439" t="s">
        <v>25</v>
      </c>
      <c r="D439" s="4">
        <v>46010</v>
      </c>
      <c r="E439">
        <v>998.1</v>
      </c>
      <c r="F439">
        <v>234.05</v>
      </c>
      <c r="G439">
        <v>764.05</v>
      </c>
      <c r="H439" s="4"/>
    </row>
    <row r="440" spans="1:8">
      <c r="A440" t="s">
        <v>23</v>
      </c>
      <c r="B440" t="s">
        <v>24</v>
      </c>
      <c r="C440" t="s">
        <v>25</v>
      </c>
      <c r="D440" s="4">
        <v>46010</v>
      </c>
      <c r="E440">
        <v>483.1</v>
      </c>
      <c r="F440">
        <v>91.31</v>
      </c>
      <c r="G440">
        <v>391.79</v>
      </c>
      <c r="H440" s="4"/>
    </row>
    <row r="441" spans="1:8">
      <c r="A441" t="s">
        <v>23</v>
      </c>
      <c r="B441" t="s">
        <v>24</v>
      </c>
      <c r="C441" t="s">
        <v>25</v>
      </c>
      <c r="D441" s="4">
        <v>46010</v>
      </c>
      <c r="E441">
        <v>1123.0999999999999</v>
      </c>
      <c r="F441">
        <v>212.27</v>
      </c>
      <c r="G441">
        <v>910.83</v>
      </c>
      <c r="H441" s="4"/>
    </row>
    <row r="442" spans="1:8">
      <c r="A442" t="s">
        <v>23</v>
      </c>
      <c r="B442" t="s">
        <v>24</v>
      </c>
      <c r="C442" t="s">
        <v>25</v>
      </c>
      <c r="D442" s="4">
        <v>46010</v>
      </c>
      <c r="E442">
        <v>288.10000000000002</v>
      </c>
      <c r="F442">
        <v>54.45</v>
      </c>
      <c r="G442">
        <v>233.65</v>
      </c>
      <c r="H442" s="4"/>
    </row>
    <row r="443" spans="1:8">
      <c r="A443" t="s">
        <v>23</v>
      </c>
      <c r="B443" t="s">
        <v>24</v>
      </c>
      <c r="C443" t="s">
        <v>25</v>
      </c>
      <c r="D443" s="4">
        <v>46010</v>
      </c>
      <c r="E443">
        <v>581.42999999999995</v>
      </c>
      <c r="F443">
        <v>109.89</v>
      </c>
      <c r="G443">
        <v>471.54</v>
      </c>
      <c r="H443" s="4"/>
    </row>
    <row r="444" spans="1:8">
      <c r="A444" t="s">
        <v>23</v>
      </c>
      <c r="B444" t="s">
        <v>24</v>
      </c>
      <c r="C444" t="s">
        <v>25</v>
      </c>
      <c r="D444" s="4">
        <v>46010</v>
      </c>
      <c r="E444">
        <v>998.1</v>
      </c>
      <c r="F444">
        <v>188.64</v>
      </c>
      <c r="G444">
        <v>809.46</v>
      </c>
      <c r="H444" s="4"/>
    </row>
    <row r="445" spans="1:8">
      <c r="A445" t="s">
        <v>23</v>
      </c>
      <c r="B445" t="s">
        <v>24</v>
      </c>
      <c r="C445" t="s">
        <v>25</v>
      </c>
      <c r="D445" s="4">
        <v>46010</v>
      </c>
      <c r="E445">
        <v>998.1</v>
      </c>
      <c r="F445">
        <v>209.6</v>
      </c>
      <c r="G445">
        <v>788.5</v>
      </c>
      <c r="H445" s="4"/>
    </row>
    <row r="446" spans="1:8">
      <c r="A446" t="s">
        <v>23</v>
      </c>
      <c r="B446" t="s">
        <v>24</v>
      </c>
      <c r="C446" t="s">
        <v>25</v>
      </c>
      <c r="D446" s="4">
        <v>46010</v>
      </c>
      <c r="E446">
        <v>1248.0999999999999</v>
      </c>
      <c r="F446">
        <v>235.89</v>
      </c>
      <c r="G446">
        <v>1012.21</v>
      </c>
      <c r="H446" s="4"/>
    </row>
    <row r="447" spans="1:8">
      <c r="A447" t="s">
        <v>23</v>
      </c>
      <c r="B447" t="s">
        <v>24</v>
      </c>
      <c r="C447" t="s">
        <v>25</v>
      </c>
      <c r="D447" s="4">
        <v>46010</v>
      </c>
      <c r="E447">
        <v>998.1</v>
      </c>
      <c r="F447">
        <v>188.64</v>
      </c>
      <c r="G447">
        <v>809.46</v>
      </c>
      <c r="H447" s="4"/>
    </row>
    <row r="448" spans="1:8">
      <c r="A448" t="s">
        <v>23</v>
      </c>
      <c r="B448" t="s">
        <v>24</v>
      </c>
      <c r="C448" t="s">
        <v>25</v>
      </c>
      <c r="D448" s="4">
        <v>46010</v>
      </c>
      <c r="E448">
        <v>1248.0999999999999</v>
      </c>
      <c r="F448">
        <v>262.10000000000002</v>
      </c>
      <c r="G448">
        <v>986</v>
      </c>
      <c r="H448" s="4"/>
    </row>
    <row r="449" spans="1:8">
      <c r="A449" t="s">
        <v>26</v>
      </c>
      <c r="B449" t="s">
        <v>27</v>
      </c>
      <c r="C449" t="s">
        <v>28</v>
      </c>
      <c r="D449" s="4">
        <v>45996</v>
      </c>
      <c r="E449">
        <v>248.1</v>
      </c>
      <c r="F449">
        <v>35</v>
      </c>
      <c r="G449">
        <v>213.1</v>
      </c>
      <c r="H449" s="4"/>
    </row>
    <row r="450" spans="1:8">
      <c r="A450" t="s">
        <v>26</v>
      </c>
      <c r="B450" t="s">
        <v>27</v>
      </c>
      <c r="C450" t="s">
        <v>28</v>
      </c>
      <c r="D450" s="4">
        <v>45996</v>
      </c>
      <c r="E450">
        <v>498.1</v>
      </c>
      <c r="F450">
        <v>66.900000000000006</v>
      </c>
      <c r="G450">
        <v>431.2</v>
      </c>
      <c r="H450" s="4"/>
    </row>
    <row r="451" spans="1:8">
      <c r="A451" t="s">
        <v>26</v>
      </c>
      <c r="B451" t="s">
        <v>27</v>
      </c>
      <c r="C451" t="s">
        <v>28</v>
      </c>
      <c r="D451" s="4">
        <v>45996</v>
      </c>
      <c r="E451">
        <v>245.37</v>
      </c>
      <c r="F451">
        <v>35</v>
      </c>
      <c r="G451">
        <v>210.37</v>
      </c>
      <c r="H451" s="4"/>
    </row>
    <row r="452" spans="1:8">
      <c r="A452" t="s">
        <v>26</v>
      </c>
      <c r="B452" t="s">
        <v>27</v>
      </c>
      <c r="C452" t="s">
        <v>28</v>
      </c>
      <c r="D452" s="4">
        <v>45996</v>
      </c>
      <c r="E452">
        <v>478.1</v>
      </c>
      <c r="F452">
        <v>58.94</v>
      </c>
      <c r="G452">
        <v>419.16</v>
      </c>
      <c r="H452" s="4"/>
    </row>
    <row r="453" spans="1:8">
      <c r="A453" t="s">
        <v>26</v>
      </c>
      <c r="B453" t="s">
        <v>27</v>
      </c>
      <c r="C453" t="s">
        <v>28</v>
      </c>
      <c r="D453" s="4">
        <v>45996</v>
      </c>
      <c r="E453">
        <v>1250.5999999999999</v>
      </c>
      <c r="F453">
        <v>128.86000000000001</v>
      </c>
      <c r="G453">
        <v>1121.74</v>
      </c>
      <c r="H453" s="4"/>
    </row>
    <row r="454" spans="1:8">
      <c r="A454" t="s">
        <v>26</v>
      </c>
      <c r="B454" t="s">
        <v>27</v>
      </c>
      <c r="C454" t="s">
        <v>28</v>
      </c>
      <c r="D454" s="4">
        <v>45996</v>
      </c>
      <c r="E454">
        <v>498.1</v>
      </c>
      <c r="F454">
        <v>35</v>
      </c>
      <c r="G454">
        <v>463.1</v>
      </c>
      <c r="H454" s="4"/>
    </row>
    <row r="455" spans="1:8">
      <c r="A455" t="s">
        <v>26</v>
      </c>
      <c r="B455" t="s">
        <v>27</v>
      </c>
      <c r="C455" t="s">
        <v>28</v>
      </c>
      <c r="D455" s="4">
        <v>45996</v>
      </c>
      <c r="E455">
        <v>598.1</v>
      </c>
      <c r="F455">
        <v>80.34</v>
      </c>
      <c r="G455">
        <v>517.76</v>
      </c>
      <c r="H455" s="4"/>
    </row>
    <row r="456" spans="1:8">
      <c r="A456" t="s">
        <v>26</v>
      </c>
      <c r="B456" t="s">
        <v>27</v>
      </c>
      <c r="C456" t="s">
        <v>28</v>
      </c>
      <c r="D456" s="4">
        <v>45996</v>
      </c>
      <c r="E456">
        <v>498.1</v>
      </c>
      <c r="F456">
        <v>61.41</v>
      </c>
      <c r="G456">
        <v>436.69</v>
      </c>
      <c r="H456" s="4"/>
    </row>
    <row r="457" spans="1:8">
      <c r="A457" t="s">
        <v>26</v>
      </c>
      <c r="B457" t="s">
        <v>27</v>
      </c>
      <c r="C457" t="s">
        <v>28</v>
      </c>
      <c r="D457" s="4">
        <v>45996</v>
      </c>
      <c r="E457">
        <v>1523.46</v>
      </c>
      <c r="F457">
        <v>114.93</v>
      </c>
      <c r="G457">
        <v>1408.53</v>
      </c>
      <c r="H457" s="4"/>
    </row>
    <row r="458" spans="1:8">
      <c r="A458" t="s">
        <v>26</v>
      </c>
      <c r="B458" t="s">
        <v>27</v>
      </c>
      <c r="C458" t="s">
        <v>28</v>
      </c>
      <c r="D458" s="4">
        <v>45996</v>
      </c>
      <c r="E458">
        <v>372.6</v>
      </c>
      <c r="F458">
        <v>43.19</v>
      </c>
      <c r="G458">
        <v>329.41</v>
      </c>
      <c r="H458" s="4"/>
    </row>
    <row r="459" spans="1:8">
      <c r="A459" t="s">
        <v>26</v>
      </c>
      <c r="B459" t="s">
        <v>27</v>
      </c>
      <c r="C459" t="s">
        <v>28</v>
      </c>
      <c r="D459" s="4">
        <v>45996</v>
      </c>
      <c r="E459">
        <v>334.85</v>
      </c>
      <c r="F459">
        <v>35</v>
      </c>
      <c r="G459">
        <v>299.85000000000002</v>
      </c>
      <c r="H459" s="4"/>
    </row>
    <row r="460" spans="1:8">
      <c r="A460" t="s">
        <v>26</v>
      </c>
      <c r="B460" t="s">
        <v>27</v>
      </c>
      <c r="C460" t="s">
        <v>28</v>
      </c>
      <c r="D460" s="4">
        <v>45996</v>
      </c>
      <c r="E460">
        <v>524.1</v>
      </c>
      <c r="F460">
        <v>64.61</v>
      </c>
      <c r="G460">
        <v>459.49</v>
      </c>
      <c r="H460" s="4"/>
    </row>
    <row r="461" spans="1:8">
      <c r="A461" t="s">
        <v>26</v>
      </c>
      <c r="B461" t="s">
        <v>27</v>
      </c>
      <c r="C461" t="s">
        <v>28</v>
      </c>
      <c r="D461" s="4">
        <v>45996</v>
      </c>
      <c r="E461">
        <v>414.77</v>
      </c>
      <c r="F461">
        <v>61.82</v>
      </c>
      <c r="G461">
        <v>352.95</v>
      </c>
      <c r="H461" s="4"/>
    </row>
    <row r="462" spans="1:8">
      <c r="A462" t="s">
        <v>26</v>
      </c>
      <c r="B462" t="s">
        <v>27</v>
      </c>
      <c r="C462" t="s">
        <v>28</v>
      </c>
      <c r="D462" s="4">
        <v>45996</v>
      </c>
      <c r="E462">
        <v>278.10000000000002</v>
      </c>
      <c r="F462">
        <v>35</v>
      </c>
      <c r="G462">
        <v>243.1</v>
      </c>
      <c r="H462" s="4"/>
    </row>
    <row r="463" spans="1:8">
      <c r="A463" t="s">
        <v>26</v>
      </c>
      <c r="B463" t="s">
        <v>27</v>
      </c>
      <c r="C463" t="s">
        <v>28</v>
      </c>
      <c r="D463" s="4">
        <v>45996</v>
      </c>
      <c r="E463">
        <v>218.1</v>
      </c>
      <c r="F463">
        <v>35</v>
      </c>
      <c r="G463">
        <v>183.1</v>
      </c>
      <c r="H463" s="4"/>
    </row>
    <row r="464" spans="1:8">
      <c r="A464" t="s">
        <v>26</v>
      </c>
      <c r="B464" t="s">
        <v>27</v>
      </c>
      <c r="C464" t="s">
        <v>28</v>
      </c>
      <c r="D464" s="4">
        <v>45996</v>
      </c>
      <c r="E464">
        <v>129.68</v>
      </c>
      <c r="F464">
        <v>35</v>
      </c>
      <c r="G464">
        <v>94.68</v>
      </c>
      <c r="H464" s="4"/>
    </row>
    <row r="465" spans="1:8">
      <c r="A465" t="s">
        <v>26</v>
      </c>
      <c r="B465" t="s">
        <v>27</v>
      </c>
      <c r="C465" t="s">
        <v>28</v>
      </c>
      <c r="D465" s="4">
        <v>45996</v>
      </c>
      <c r="E465">
        <v>583.45000000000005</v>
      </c>
      <c r="F465">
        <v>78.37</v>
      </c>
      <c r="G465">
        <v>505.08</v>
      </c>
      <c r="H465" s="4"/>
    </row>
    <row r="466" spans="1:8">
      <c r="A466" t="s">
        <v>26</v>
      </c>
      <c r="B466" t="s">
        <v>27</v>
      </c>
      <c r="C466" t="s">
        <v>28</v>
      </c>
      <c r="D466" s="4">
        <v>45996</v>
      </c>
      <c r="E466">
        <v>191.47</v>
      </c>
      <c r="F466">
        <v>35</v>
      </c>
      <c r="G466">
        <v>156.47</v>
      </c>
      <c r="H466" s="4"/>
    </row>
    <row r="467" spans="1:8">
      <c r="A467" t="s">
        <v>26</v>
      </c>
      <c r="B467" t="s">
        <v>27</v>
      </c>
      <c r="C467" t="s">
        <v>28</v>
      </c>
      <c r="D467" s="4">
        <v>45996</v>
      </c>
      <c r="E467">
        <v>372.6</v>
      </c>
      <c r="F467">
        <v>35</v>
      </c>
      <c r="G467">
        <v>337.6</v>
      </c>
      <c r="H467" s="4"/>
    </row>
    <row r="468" spans="1:8">
      <c r="A468" t="s">
        <v>26</v>
      </c>
      <c r="B468" t="s">
        <v>27</v>
      </c>
      <c r="C468" t="s">
        <v>28</v>
      </c>
      <c r="D468" s="4">
        <v>45996</v>
      </c>
      <c r="E468">
        <v>94.1</v>
      </c>
      <c r="F468">
        <v>35</v>
      </c>
      <c r="G468">
        <v>59.1</v>
      </c>
      <c r="H468" s="4"/>
    </row>
    <row r="469" spans="1:8">
      <c r="A469" t="s">
        <v>26</v>
      </c>
      <c r="B469" t="s">
        <v>27</v>
      </c>
      <c r="C469" t="s">
        <v>28</v>
      </c>
      <c r="D469" s="4">
        <v>45996</v>
      </c>
      <c r="E469">
        <v>1250.5999999999999</v>
      </c>
      <c r="F469">
        <v>200.2</v>
      </c>
      <c r="G469">
        <v>1050.4000000000001</v>
      </c>
      <c r="H469" s="4"/>
    </row>
    <row r="470" spans="1:8">
      <c r="A470" t="s">
        <v>26</v>
      </c>
      <c r="B470" t="s">
        <v>27</v>
      </c>
      <c r="C470" t="s">
        <v>28</v>
      </c>
      <c r="D470" s="4">
        <v>45996</v>
      </c>
      <c r="E470">
        <v>620.32000000000005</v>
      </c>
      <c r="F470">
        <v>52.5</v>
      </c>
      <c r="G470">
        <v>567.82000000000005</v>
      </c>
      <c r="H470" s="4"/>
    </row>
    <row r="471" spans="1:8">
      <c r="A471" t="s">
        <v>26</v>
      </c>
      <c r="B471" t="s">
        <v>27</v>
      </c>
      <c r="C471" t="s">
        <v>28</v>
      </c>
      <c r="D471" s="4">
        <v>45996</v>
      </c>
      <c r="E471">
        <v>151.43</v>
      </c>
      <c r="F471">
        <v>35</v>
      </c>
      <c r="G471">
        <v>116.43</v>
      </c>
      <c r="H471" s="4"/>
    </row>
    <row r="472" spans="1:8">
      <c r="A472" t="s">
        <v>26</v>
      </c>
      <c r="B472" t="s">
        <v>27</v>
      </c>
      <c r="C472" t="s">
        <v>28</v>
      </c>
      <c r="D472" s="4">
        <v>45996</v>
      </c>
      <c r="E472">
        <v>248.1</v>
      </c>
      <c r="F472">
        <v>35</v>
      </c>
      <c r="G472">
        <v>213.1</v>
      </c>
      <c r="H472" s="4"/>
    </row>
    <row r="473" spans="1:8">
      <c r="A473" t="s">
        <v>26</v>
      </c>
      <c r="B473" t="s">
        <v>27</v>
      </c>
      <c r="C473" t="s">
        <v>28</v>
      </c>
      <c r="D473" s="4">
        <v>45996</v>
      </c>
      <c r="E473">
        <v>35.6</v>
      </c>
      <c r="F473">
        <v>35</v>
      </c>
      <c r="G473">
        <v>0.6</v>
      </c>
      <c r="H473" s="4"/>
    </row>
    <row r="474" spans="1:8">
      <c r="A474" t="s">
        <v>26</v>
      </c>
      <c r="B474" t="s">
        <v>27</v>
      </c>
      <c r="C474" t="s">
        <v>28</v>
      </c>
      <c r="D474" s="4">
        <v>45996</v>
      </c>
      <c r="E474">
        <v>348.1</v>
      </c>
      <c r="F474">
        <v>35</v>
      </c>
      <c r="G474">
        <v>313.10000000000002</v>
      </c>
      <c r="H474" s="4"/>
    </row>
    <row r="475" spans="1:8">
      <c r="A475" t="s">
        <v>26</v>
      </c>
      <c r="B475" t="s">
        <v>27</v>
      </c>
      <c r="C475" t="s">
        <v>28</v>
      </c>
      <c r="D475" s="4">
        <v>45996</v>
      </c>
      <c r="E475">
        <v>144.77000000000001</v>
      </c>
      <c r="F475">
        <v>35</v>
      </c>
      <c r="G475">
        <v>109.77</v>
      </c>
      <c r="H475" s="4"/>
    </row>
    <row r="476" spans="1:8">
      <c r="A476" t="s">
        <v>26</v>
      </c>
      <c r="B476" t="s">
        <v>27</v>
      </c>
      <c r="C476" t="s">
        <v>28</v>
      </c>
      <c r="D476" s="4">
        <v>45996</v>
      </c>
      <c r="E476">
        <v>581.29999999999995</v>
      </c>
      <c r="F476">
        <v>74.87</v>
      </c>
      <c r="G476">
        <v>506.43</v>
      </c>
      <c r="H476" s="4"/>
    </row>
    <row r="477" spans="1:8">
      <c r="A477" t="s">
        <v>26</v>
      </c>
      <c r="B477" t="s">
        <v>27</v>
      </c>
      <c r="C477" t="s">
        <v>28</v>
      </c>
      <c r="D477" s="4">
        <v>45996</v>
      </c>
      <c r="E477">
        <v>240.58</v>
      </c>
      <c r="F477">
        <v>35</v>
      </c>
      <c r="G477">
        <v>205.58</v>
      </c>
      <c r="H477" s="4"/>
    </row>
    <row r="478" spans="1:8">
      <c r="A478" t="s">
        <v>26</v>
      </c>
      <c r="B478" t="s">
        <v>27</v>
      </c>
      <c r="C478" t="s">
        <v>28</v>
      </c>
      <c r="D478" s="4">
        <v>45996</v>
      </c>
      <c r="E478">
        <v>1048.0999999999999</v>
      </c>
      <c r="F478">
        <v>129.21</v>
      </c>
      <c r="G478">
        <v>918.89</v>
      </c>
      <c r="H478" s="4"/>
    </row>
    <row r="479" spans="1:8">
      <c r="A479" t="s">
        <v>26</v>
      </c>
      <c r="B479" t="s">
        <v>27</v>
      </c>
      <c r="C479" t="s">
        <v>28</v>
      </c>
      <c r="D479" s="4">
        <v>45996</v>
      </c>
      <c r="E479">
        <v>35.6</v>
      </c>
      <c r="F479">
        <v>35</v>
      </c>
      <c r="G479">
        <v>0.6</v>
      </c>
      <c r="H479" s="4"/>
    </row>
    <row r="480" spans="1:8">
      <c r="A480" t="s">
        <v>26</v>
      </c>
      <c r="B480" t="s">
        <v>27</v>
      </c>
      <c r="C480" t="s">
        <v>28</v>
      </c>
      <c r="D480" s="4">
        <v>45996</v>
      </c>
      <c r="E480">
        <v>378.1</v>
      </c>
      <c r="F480">
        <v>46.61</v>
      </c>
      <c r="G480">
        <v>331.49</v>
      </c>
      <c r="H480" s="4"/>
    </row>
    <row r="481" spans="1:8">
      <c r="A481" t="s">
        <v>26</v>
      </c>
      <c r="B481" t="s">
        <v>27</v>
      </c>
      <c r="C481" t="s">
        <v>28</v>
      </c>
      <c r="D481" s="4">
        <v>45996</v>
      </c>
      <c r="E481">
        <v>102.1</v>
      </c>
      <c r="F481">
        <v>35</v>
      </c>
      <c r="G481">
        <v>67.099999999999994</v>
      </c>
      <c r="H481" s="4"/>
    </row>
    <row r="482" spans="1:8">
      <c r="A482" t="s">
        <v>26</v>
      </c>
      <c r="B482" t="s">
        <v>27</v>
      </c>
      <c r="C482" t="s">
        <v>28</v>
      </c>
      <c r="D482" s="4">
        <v>45996</v>
      </c>
      <c r="E482">
        <v>231.43</v>
      </c>
      <c r="F482">
        <v>40.03</v>
      </c>
      <c r="G482">
        <v>191.4</v>
      </c>
      <c r="H482" s="4"/>
    </row>
    <row r="483" spans="1:8">
      <c r="A483" t="s">
        <v>26</v>
      </c>
      <c r="B483" t="s">
        <v>27</v>
      </c>
      <c r="C483" t="s">
        <v>28</v>
      </c>
      <c r="D483" s="4">
        <v>45996</v>
      </c>
      <c r="E483">
        <v>245.37</v>
      </c>
      <c r="F483">
        <v>35</v>
      </c>
      <c r="G483">
        <v>210.37</v>
      </c>
      <c r="H483" s="4"/>
    </row>
    <row r="484" spans="1:8">
      <c r="A484" t="s">
        <v>26</v>
      </c>
      <c r="B484" t="s">
        <v>27</v>
      </c>
      <c r="C484" t="s">
        <v>28</v>
      </c>
      <c r="D484" s="4">
        <v>45996</v>
      </c>
      <c r="E484">
        <v>525.6</v>
      </c>
      <c r="F484">
        <v>79.3</v>
      </c>
      <c r="G484">
        <v>446.3</v>
      </c>
      <c r="H484" s="4"/>
    </row>
    <row r="485" spans="1:8">
      <c r="A485" t="s">
        <v>26</v>
      </c>
      <c r="B485" t="s">
        <v>27</v>
      </c>
      <c r="C485" t="s">
        <v>28</v>
      </c>
      <c r="D485" s="4">
        <v>45996</v>
      </c>
      <c r="E485">
        <v>278.10000000000002</v>
      </c>
      <c r="F485">
        <v>35</v>
      </c>
      <c r="G485">
        <v>243.1</v>
      </c>
      <c r="H485" s="4"/>
    </row>
    <row r="486" spans="1:8">
      <c r="A486" t="s">
        <v>26</v>
      </c>
      <c r="B486" t="s">
        <v>27</v>
      </c>
      <c r="C486" t="s">
        <v>28</v>
      </c>
      <c r="D486" s="4">
        <v>45996</v>
      </c>
      <c r="E486">
        <v>341.8</v>
      </c>
      <c r="F486">
        <v>35</v>
      </c>
      <c r="G486">
        <v>306.8</v>
      </c>
      <c r="H486" s="4"/>
    </row>
    <row r="487" spans="1:8">
      <c r="A487" t="s">
        <v>26</v>
      </c>
      <c r="B487" t="s">
        <v>27</v>
      </c>
      <c r="C487" t="s">
        <v>28</v>
      </c>
      <c r="D487" s="4">
        <v>45996</v>
      </c>
      <c r="E487">
        <v>398.1</v>
      </c>
      <c r="F487">
        <v>48.35</v>
      </c>
      <c r="G487">
        <v>349.75</v>
      </c>
      <c r="H487" s="4"/>
    </row>
    <row r="488" spans="1:8">
      <c r="A488" t="s">
        <v>26</v>
      </c>
      <c r="B488" t="s">
        <v>27</v>
      </c>
      <c r="C488" t="s">
        <v>28</v>
      </c>
      <c r="D488" s="4">
        <v>45996</v>
      </c>
      <c r="E488">
        <v>341.8</v>
      </c>
      <c r="F488">
        <v>48.43</v>
      </c>
      <c r="G488">
        <v>293.37</v>
      </c>
      <c r="H488" s="4"/>
    </row>
    <row r="489" spans="1:8">
      <c r="A489" t="s">
        <v>26</v>
      </c>
      <c r="B489" t="s">
        <v>27</v>
      </c>
      <c r="C489" t="s">
        <v>28</v>
      </c>
      <c r="D489" s="4">
        <v>45996</v>
      </c>
      <c r="E489">
        <v>151.43</v>
      </c>
      <c r="F489">
        <v>35</v>
      </c>
      <c r="G489">
        <v>116.43</v>
      </c>
      <c r="H489" s="4"/>
    </row>
    <row r="490" spans="1:8">
      <c r="A490" t="s">
        <v>26</v>
      </c>
      <c r="B490" t="s">
        <v>27</v>
      </c>
      <c r="C490" t="s">
        <v>28</v>
      </c>
      <c r="D490" s="4">
        <v>45996</v>
      </c>
      <c r="E490">
        <v>1368.77</v>
      </c>
      <c r="F490">
        <v>85.63</v>
      </c>
      <c r="G490">
        <v>1283.1400000000001</v>
      </c>
      <c r="H490" s="4"/>
    </row>
    <row r="491" spans="1:8">
      <c r="A491" t="s">
        <v>26</v>
      </c>
      <c r="B491" t="s">
        <v>27</v>
      </c>
      <c r="C491" t="s">
        <v>28</v>
      </c>
      <c r="D491" s="4">
        <v>45996</v>
      </c>
      <c r="E491">
        <v>118.1</v>
      </c>
      <c r="F491">
        <v>35</v>
      </c>
      <c r="G491">
        <v>83.1</v>
      </c>
      <c r="H491" s="4"/>
    </row>
    <row r="492" spans="1:8">
      <c r="A492" t="s">
        <v>26</v>
      </c>
      <c r="B492" t="s">
        <v>27</v>
      </c>
      <c r="C492" t="s">
        <v>28</v>
      </c>
      <c r="D492" s="4">
        <v>45996</v>
      </c>
      <c r="E492">
        <v>1868.1</v>
      </c>
      <c r="F492">
        <v>158.12</v>
      </c>
      <c r="G492">
        <v>1709.98</v>
      </c>
      <c r="H492" s="4"/>
    </row>
    <row r="493" spans="1:8">
      <c r="A493" t="s">
        <v>26</v>
      </c>
      <c r="B493" t="s">
        <v>27</v>
      </c>
      <c r="C493" t="s">
        <v>28</v>
      </c>
      <c r="D493" s="4">
        <v>45996</v>
      </c>
      <c r="E493">
        <v>595.96</v>
      </c>
      <c r="F493">
        <v>36.19</v>
      </c>
      <c r="G493">
        <v>559.77</v>
      </c>
      <c r="H493" s="4"/>
    </row>
    <row r="494" spans="1:8">
      <c r="A494" t="s">
        <v>26</v>
      </c>
      <c r="B494" t="s">
        <v>27</v>
      </c>
      <c r="C494" t="s">
        <v>28</v>
      </c>
      <c r="D494" s="4">
        <v>45996</v>
      </c>
      <c r="E494">
        <v>524.1</v>
      </c>
      <c r="F494">
        <v>36.65</v>
      </c>
      <c r="G494">
        <v>487.45</v>
      </c>
      <c r="H494" s="4"/>
    </row>
    <row r="495" spans="1:8">
      <c r="A495" t="s">
        <v>26</v>
      </c>
      <c r="B495" t="s">
        <v>27</v>
      </c>
      <c r="C495" t="s">
        <v>28</v>
      </c>
      <c r="D495" s="4">
        <v>45996</v>
      </c>
      <c r="E495">
        <v>448.1</v>
      </c>
      <c r="F495">
        <v>65.959999999999994</v>
      </c>
      <c r="G495">
        <v>382.14</v>
      </c>
      <c r="H495" s="4"/>
    </row>
    <row r="496" spans="1:8">
      <c r="A496" t="s">
        <v>26</v>
      </c>
      <c r="B496" t="s">
        <v>27</v>
      </c>
      <c r="C496" t="s">
        <v>28</v>
      </c>
      <c r="D496" s="4">
        <v>45996</v>
      </c>
      <c r="E496">
        <v>334.85</v>
      </c>
      <c r="F496">
        <v>53.6</v>
      </c>
      <c r="G496">
        <v>281.25</v>
      </c>
      <c r="H496" s="4"/>
    </row>
    <row r="497" spans="1:8">
      <c r="A497" t="s">
        <v>26</v>
      </c>
      <c r="B497" t="s">
        <v>27</v>
      </c>
      <c r="C497" t="s">
        <v>28</v>
      </c>
      <c r="D497" s="4">
        <v>45996</v>
      </c>
      <c r="E497">
        <v>748.1</v>
      </c>
      <c r="F497">
        <v>92.23</v>
      </c>
      <c r="G497">
        <v>655.87</v>
      </c>
      <c r="H497" s="4"/>
    </row>
    <row r="498" spans="1:8">
      <c r="A498" t="s">
        <v>26</v>
      </c>
      <c r="B498" t="s">
        <v>27</v>
      </c>
      <c r="C498" t="s">
        <v>28</v>
      </c>
      <c r="D498" s="4">
        <v>45996</v>
      </c>
      <c r="E498">
        <v>151.43</v>
      </c>
      <c r="F498">
        <v>35</v>
      </c>
      <c r="G498">
        <v>116.43</v>
      </c>
      <c r="H498" s="4"/>
    </row>
    <row r="499" spans="1:8">
      <c r="A499" t="s">
        <v>26</v>
      </c>
      <c r="B499" t="s">
        <v>27</v>
      </c>
      <c r="C499" t="s">
        <v>28</v>
      </c>
      <c r="D499" s="4">
        <v>45996</v>
      </c>
      <c r="E499">
        <v>94.49</v>
      </c>
      <c r="F499">
        <v>35</v>
      </c>
      <c r="G499">
        <v>59.49</v>
      </c>
      <c r="H499" s="4"/>
    </row>
    <row r="500" spans="1:8">
      <c r="A500" t="s">
        <v>26</v>
      </c>
      <c r="B500" t="s">
        <v>27</v>
      </c>
      <c r="C500" t="s">
        <v>28</v>
      </c>
      <c r="D500" s="4">
        <v>45996</v>
      </c>
      <c r="E500">
        <v>362.57</v>
      </c>
      <c r="F500">
        <v>44.7</v>
      </c>
      <c r="G500">
        <v>317.87</v>
      </c>
      <c r="H500" s="4"/>
    </row>
    <row r="501" spans="1:8">
      <c r="A501" t="s">
        <v>26</v>
      </c>
      <c r="B501" t="s">
        <v>27</v>
      </c>
      <c r="C501" t="s">
        <v>28</v>
      </c>
      <c r="D501" s="4">
        <v>45996</v>
      </c>
      <c r="E501">
        <v>328.1</v>
      </c>
      <c r="F501">
        <v>35</v>
      </c>
      <c r="G501">
        <v>293.10000000000002</v>
      </c>
      <c r="H501" s="4"/>
    </row>
    <row r="502" spans="1:8">
      <c r="A502" t="s">
        <v>26</v>
      </c>
      <c r="B502" t="s">
        <v>27</v>
      </c>
      <c r="C502" t="s">
        <v>28</v>
      </c>
      <c r="D502" s="4">
        <v>45996</v>
      </c>
      <c r="E502">
        <v>595.96</v>
      </c>
      <c r="F502">
        <v>72.37</v>
      </c>
      <c r="G502">
        <v>523.59</v>
      </c>
      <c r="H502" s="4"/>
    </row>
    <row r="503" spans="1:8">
      <c r="A503" t="s">
        <v>26</v>
      </c>
      <c r="B503" t="s">
        <v>27</v>
      </c>
      <c r="C503" t="s">
        <v>28</v>
      </c>
      <c r="D503" s="4">
        <v>45996</v>
      </c>
      <c r="E503">
        <v>129.68</v>
      </c>
      <c r="F503">
        <v>35</v>
      </c>
      <c r="G503">
        <v>94.68</v>
      </c>
      <c r="H503" s="4"/>
    </row>
    <row r="504" spans="1:8">
      <c r="A504" t="s">
        <v>26</v>
      </c>
      <c r="B504" t="s">
        <v>27</v>
      </c>
      <c r="C504" t="s">
        <v>28</v>
      </c>
      <c r="D504" s="4">
        <v>45996</v>
      </c>
      <c r="E504">
        <v>528.1</v>
      </c>
      <c r="F504">
        <v>50.53</v>
      </c>
      <c r="G504">
        <v>477.57</v>
      </c>
      <c r="H504" s="4"/>
    </row>
    <row r="505" spans="1:8">
      <c r="A505" t="s">
        <v>26</v>
      </c>
      <c r="B505" t="s">
        <v>27</v>
      </c>
      <c r="C505" t="s">
        <v>28</v>
      </c>
      <c r="D505" s="4">
        <v>45996</v>
      </c>
      <c r="E505">
        <v>199.35</v>
      </c>
      <c r="F505">
        <v>35</v>
      </c>
      <c r="G505">
        <v>164.35</v>
      </c>
      <c r="H505" s="4"/>
    </row>
    <row r="506" spans="1:8">
      <c r="A506" t="s">
        <v>26</v>
      </c>
      <c r="B506" t="s">
        <v>27</v>
      </c>
      <c r="C506" t="s">
        <v>28</v>
      </c>
      <c r="D506" s="4">
        <v>45996</v>
      </c>
      <c r="E506">
        <v>594.79999999999995</v>
      </c>
      <c r="F506">
        <v>73.33</v>
      </c>
      <c r="G506">
        <v>521.47</v>
      </c>
      <c r="H506" s="4"/>
    </row>
    <row r="507" spans="1:8">
      <c r="A507" t="s">
        <v>26</v>
      </c>
      <c r="B507" t="s">
        <v>27</v>
      </c>
      <c r="C507" t="s">
        <v>28</v>
      </c>
      <c r="D507" s="4">
        <v>45996</v>
      </c>
      <c r="E507">
        <v>443.81</v>
      </c>
      <c r="F507">
        <v>35</v>
      </c>
      <c r="G507">
        <v>408.81</v>
      </c>
      <c r="H507" s="4"/>
    </row>
    <row r="508" spans="1:8">
      <c r="A508" t="s">
        <v>26</v>
      </c>
      <c r="B508" t="s">
        <v>27</v>
      </c>
      <c r="C508" t="s">
        <v>28</v>
      </c>
      <c r="D508" s="4">
        <v>45996</v>
      </c>
      <c r="E508">
        <v>372.6</v>
      </c>
      <c r="F508">
        <v>62.39</v>
      </c>
      <c r="G508">
        <v>310.20999999999998</v>
      </c>
      <c r="H508" s="4"/>
    </row>
    <row r="509" spans="1:8">
      <c r="A509" t="s">
        <v>26</v>
      </c>
      <c r="B509" t="s">
        <v>27</v>
      </c>
      <c r="C509" t="s">
        <v>28</v>
      </c>
      <c r="D509" s="4">
        <v>45996</v>
      </c>
      <c r="E509">
        <v>298.10000000000002</v>
      </c>
      <c r="F509">
        <v>35</v>
      </c>
      <c r="G509">
        <v>263.10000000000002</v>
      </c>
      <c r="H509" s="4"/>
    </row>
    <row r="510" spans="1:8">
      <c r="A510" t="s">
        <v>26</v>
      </c>
      <c r="B510" t="s">
        <v>27</v>
      </c>
      <c r="C510" t="s">
        <v>28</v>
      </c>
      <c r="D510" s="4">
        <v>45996</v>
      </c>
      <c r="E510">
        <v>789.77</v>
      </c>
      <c r="F510">
        <v>97.36</v>
      </c>
      <c r="G510">
        <v>692.41</v>
      </c>
      <c r="H510" s="4"/>
    </row>
    <row r="511" spans="1:8">
      <c r="A511" t="s">
        <v>26</v>
      </c>
      <c r="B511" t="s">
        <v>27</v>
      </c>
      <c r="C511" t="s">
        <v>28</v>
      </c>
      <c r="D511" s="4">
        <v>45996</v>
      </c>
      <c r="E511">
        <v>448.1</v>
      </c>
      <c r="F511">
        <v>38.75</v>
      </c>
      <c r="G511">
        <v>409.35</v>
      </c>
      <c r="H511" s="4"/>
    </row>
    <row r="512" spans="1:8">
      <c r="A512" t="s">
        <v>26</v>
      </c>
      <c r="B512" t="s">
        <v>27</v>
      </c>
      <c r="C512" t="s">
        <v>28</v>
      </c>
      <c r="D512" s="4">
        <v>45996</v>
      </c>
      <c r="E512">
        <v>598.1</v>
      </c>
      <c r="F512">
        <v>45.12</v>
      </c>
      <c r="G512">
        <v>552.98</v>
      </c>
      <c r="H512" s="4"/>
    </row>
    <row r="513" spans="1:8">
      <c r="A513" t="s">
        <v>26</v>
      </c>
      <c r="B513" t="s">
        <v>27</v>
      </c>
      <c r="C513" t="s">
        <v>28</v>
      </c>
      <c r="D513" s="4">
        <v>45996</v>
      </c>
      <c r="E513">
        <v>414.77</v>
      </c>
      <c r="F513">
        <v>58.76</v>
      </c>
      <c r="G513">
        <v>356.01</v>
      </c>
      <c r="H513" s="4"/>
    </row>
    <row r="514" spans="1:8">
      <c r="A514" t="s">
        <v>26</v>
      </c>
      <c r="B514" t="s">
        <v>27</v>
      </c>
      <c r="C514" t="s">
        <v>28</v>
      </c>
      <c r="D514" s="4">
        <v>45996</v>
      </c>
      <c r="E514">
        <v>838.53</v>
      </c>
      <c r="F514">
        <v>69.430000000000007</v>
      </c>
      <c r="G514">
        <v>769.1</v>
      </c>
      <c r="H514" s="4"/>
    </row>
    <row r="515" spans="1:8">
      <c r="A515" t="s">
        <v>26</v>
      </c>
      <c r="B515" t="s">
        <v>27</v>
      </c>
      <c r="C515" t="s">
        <v>28</v>
      </c>
      <c r="D515" s="4">
        <v>45996</v>
      </c>
      <c r="E515">
        <v>552.79999999999995</v>
      </c>
      <c r="F515">
        <v>39.67</v>
      </c>
      <c r="G515">
        <v>513.13</v>
      </c>
      <c r="H515" s="4"/>
    </row>
    <row r="516" spans="1:8">
      <c r="A516" t="s">
        <v>26</v>
      </c>
      <c r="B516" t="s">
        <v>27</v>
      </c>
      <c r="C516" t="s">
        <v>28</v>
      </c>
      <c r="D516" s="4">
        <v>45996</v>
      </c>
      <c r="E516">
        <v>247.66</v>
      </c>
      <c r="F516">
        <v>35</v>
      </c>
      <c r="G516">
        <v>212.66</v>
      </c>
      <c r="H516" s="4"/>
    </row>
    <row r="517" spans="1:8">
      <c r="A517" t="s">
        <v>26</v>
      </c>
      <c r="B517" t="s">
        <v>27</v>
      </c>
      <c r="C517" t="s">
        <v>28</v>
      </c>
      <c r="D517" s="4">
        <v>45996</v>
      </c>
      <c r="E517">
        <v>102.1</v>
      </c>
      <c r="F517">
        <v>35</v>
      </c>
      <c r="G517">
        <v>67.099999999999994</v>
      </c>
      <c r="H517" s="4"/>
    </row>
    <row r="518" spans="1:8">
      <c r="A518" t="s">
        <v>26</v>
      </c>
      <c r="B518" t="s">
        <v>27</v>
      </c>
      <c r="C518" t="s">
        <v>28</v>
      </c>
      <c r="D518" s="4">
        <v>45996</v>
      </c>
      <c r="E518">
        <v>498.1</v>
      </c>
      <c r="F518">
        <v>75.150000000000006</v>
      </c>
      <c r="G518">
        <v>422.95</v>
      </c>
      <c r="H518" s="4"/>
    </row>
    <row r="519" spans="1:8">
      <c r="A519" t="s">
        <v>26</v>
      </c>
      <c r="B519" t="s">
        <v>27</v>
      </c>
      <c r="C519" t="s">
        <v>28</v>
      </c>
      <c r="D519" s="4">
        <v>45996</v>
      </c>
      <c r="E519">
        <v>240.58</v>
      </c>
      <c r="F519">
        <v>35</v>
      </c>
      <c r="G519">
        <v>205.58</v>
      </c>
      <c r="H519" s="4"/>
    </row>
    <row r="520" spans="1:8">
      <c r="A520" t="s">
        <v>26</v>
      </c>
      <c r="B520" t="s">
        <v>27</v>
      </c>
      <c r="C520" t="s">
        <v>28</v>
      </c>
      <c r="D520" s="4">
        <v>45996</v>
      </c>
      <c r="E520">
        <v>902.35</v>
      </c>
      <c r="F520">
        <v>63.09</v>
      </c>
      <c r="G520">
        <v>839.26</v>
      </c>
      <c r="H520" s="4"/>
    </row>
    <row r="521" spans="1:8">
      <c r="A521" t="s">
        <v>26</v>
      </c>
      <c r="B521" t="s">
        <v>27</v>
      </c>
      <c r="C521" t="s">
        <v>28</v>
      </c>
      <c r="D521" s="4">
        <v>45996</v>
      </c>
      <c r="E521">
        <v>82.39</v>
      </c>
      <c r="F521">
        <v>35</v>
      </c>
      <c r="G521">
        <v>47.39</v>
      </c>
      <c r="H521" s="4"/>
    </row>
    <row r="522" spans="1:8">
      <c r="A522" t="s">
        <v>26</v>
      </c>
      <c r="B522" t="s">
        <v>27</v>
      </c>
      <c r="C522" t="s">
        <v>28</v>
      </c>
      <c r="D522" s="4">
        <v>45996</v>
      </c>
      <c r="E522">
        <v>525.6</v>
      </c>
      <c r="F522">
        <v>50.29</v>
      </c>
      <c r="G522">
        <v>475.31</v>
      </c>
      <c r="H522" s="4"/>
    </row>
    <row r="523" spans="1:8">
      <c r="A523" t="s">
        <v>26</v>
      </c>
      <c r="B523" t="s">
        <v>27</v>
      </c>
      <c r="C523" t="s">
        <v>28</v>
      </c>
      <c r="D523" s="4">
        <v>45996</v>
      </c>
      <c r="E523">
        <v>274.10000000000002</v>
      </c>
      <c r="F523">
        <v>35</v>
      </c>
      <c r="G523">
        <v>239.1</v>
      </c>
      <c r="H523" s="4"/>
    </row>
    <row r="524" spans="1:8">
      <c r="A524" t="s">
        <v>26</v>
      </c>
      <c r="B524" t="s">
        <v>27</v>
      </c>
      <c r="C524" t="s">
        <v>28</v>
      </c>
      <c r="D524" s="4">
        <v>45996</v>
      </c>
      <c r="E524">
        <v>498.1</v>
      </c>
      <c r="F524">
        <v>47.66</v>
      </c>
      <c r="G524">
        <v>450.44</v>
      </c>
      <c r="H524" s="4"/>
    </row>
    <row r="525" spans="1:8">
      <c r="A525" t="s">
        <v>26</v>
      </c>
      <c r="B525" t="s">
        <v>27</v>
      </c>
      <c r="C525" t="s">
        <v>28</v>
      </c>
      <c r="D525" s="4">
        <v>45996</v>
      </c>
      <c r="E525">
        <v>118.1</v>
      </c>
      <c r="F525">
        <v>35</v>
      </c>
      <c r="G525">
        <v>83.1</v>
      </c>
      <c r="H525" s="4"/>
    </row>
    <row r="526" spans="1:8">
      <c r="A526" t="s">
        <v>26</v>
      </c>
      <c r="B526" t="s">
        <v>27</v>
      </c>
      <c r="C526" t="s">
        <v>28</v>
      </c>
      <c r="D526" s="4">
        <v>45996</v>
      </c>
      <c r="E526">
        <v>473.55</v>
      </c>
      <c r="F526">
        <v>35</v>
      </c>
      <c r="G526">
        <v>438.55</v>
      </c>
      <c r="H526" s="4"/>
    </row>
    <row r="527" spans="1:8">
      <c r="A527" t="s">
        <v>26</v>
      </c>
      <c r="B527" t="s">
        <v>27</v>
      </c>
      <c r="C527" t="s">
        <v>28</v>
      </c>
      <c r="D527" s="4">
        <v>45996</v>
      </c>
      <c r="E527">
        <v>549.15</v>
      </c>
      <c r="F527">
        <v>38.4</v>
      </c>
      <c r="G527">
        <v>510.75</v>
      </c>
      <c r="H527" s="4"/>
    </row>
    <row r="528" spans="1:8">
      <c r="A528" t="s">
        <v>26</v>
      </c>
      <c r="B528" t="s">
        <v>27</v>
      </c>
      <c r="C528" t="s">
        <v>28</v>
      </c>
      <c r="D528" s="4">
        <v>45996</v>
      </c>
      <c r="E528">
        <v>144.77000000000001</v>
      </c>
      <c r="F528">
        <v>35</v>
      </c>
      <c r="G528">
        <v>109.77</v>
      </c>
      <c r="H528" s="4"/>
    </row>
    <row r="529" spans="1:8">
      <c r="A529" t="s">
        <v>26</v>
      </c>
      <c r="B529" t="s">
        <v>27</v>
      </c>
      <c r="C529" t="s">
        <v>28</v>
      </c>
      <c r="D529" s="4">
        <v>45996</v>
      </c>
      <c r="E529">
        <v>188.1</v>
      </c>
      <c r="F529">
        <v>35</v>
      </c>
      <c r="G529">
        <v>153.1</v>
      </c>
      <c r="H529" s="4"/>
    </row>
    <row r="530" spans="1:8">
      <c r="A530" t="s">
        <v>26</v>
      </c>
      <c r="B530" t="s">
        <v>27</v>
      </c>
      <c r="C530" t="s">
        <v>28</v>
      </c>
      <c r="D530" s="4">
        <v>45996</v>
      </c>
      <c r="E530">
        <v>231.43</v>
      </c>
      <c r="F530">
        <v>35</v>
      </c>
      <c r="G530">
        <v>196.43</v>
      </c>
      <c r="H530" s="4"/>
    </row>
    <row r="531" spans="1:8">
      <c r="A531" t="s">
        <v>26</v>
      </c>
      <c r="B531" t="s">
        <v>27</v>
      </c>
      <c r="C531" t="s">
        <v>28</v>
      </c>
      <c r="D531" s="4">
        <v>45996</v>
      </c>
      <c r="E531">
        <v>378.1</v>
      </c>
      <c r="F531">
        <v>35</v>
      </c>
      <c r="G531">
        <v>343.1</v>
      </c>
      <c r="H531" s="4"/>
    </row>
    <row r="532" spans="1:8">
      <c r="A532" t="s">
        <v>26</v>
      </c>
      <c r="B532" t="s">
        <v>27</v>
      </c>
      <c r="C532" t="s">
        <v>28</v>
      </c>
      <c r="D532" s="4">
        <v>45996</v>
      </c>
      <c r="E532">
        <v>1048.0999999999999</v>
      </c>
      <c r="F532">
        <v>73.28</v>
      </c>
      <c r="G532">
        <v>974.82</v>
      </c>
      <c r="H532" s="4"/>
    </row>
    <row r="533" spans="1:8">
      <c r="A533" t="s">
        <v>26</v>
      </c>
      <c r="B533" t="s">
        <v>27</v>
      </c>
      <c r="C533" t="s">
        <v>28</v>
      </c>
      <c r="D533" s="4">
        <v>45996</v>
      </c>
      <c r="E533">
        <v>594.79999999999995</v>
      </c>
      <c r="F533">
        <v>41.59</v>
      </c>
      <c r="G533">
        <v>553.21</v>
      </c>
      <c r="H533" s="4"/>
    </row>
    <row r="534" spans="1:8">
      <c r="A534" t="s">
        <v>26</v>
      </c>
      <c r="B534" t="s">
        <v>27</v>
      </c>
      <c r="C534" t="s">
        <v>28</v>
      </c>
      <c r="D534" s="4">
        <v>45996</v>
      </c>
      <c r="E534">
        <v>94.1</v>
      </c>
      <c r="F534">
        <v>35</v>
      </c>
      <c r="G534">
        <v>59.1</v>
      </c>
      <c r="H534" s="4"/>
    </row>
    <row r="535" spans="1:8">
      <c r="A535" t="s">
        <v>26</v>
      </c>
      <c r="B535" t="s">
        <v>27</v>
      </c>
      <c r="C535" t="s">
        <v>28</v>
      </c>
      <c r="D535" s="4">
        <v>45996</v>
      </c>
      <c r="E535">
        <v>443.81</v>
      </c>
      <c r="F535">
        <v>59.61</v>
      </c>
      <c r="G535">
        <v>384.2</v>
      </c>
      <c r="H535" s="4"/>
    </row>
    <row r="536" spans="1:8">
      <c r="A536" t="s">
        <v>26</v>
      </c>
      <c r="B536" t="s">
        <v>27</v>
      </c>
      <c r="C536" t="s">
        <v>28</v>
      </c>
      <c r="D536" s="4">
        <v>45996</v>
      </c>
      <c r="E536">
        <v>1523.46</v>
      </c>
      <c r="F536">
        <v>204.63</v>
      </c>
      <c r="G536">
        <v>1318.83</v>
      </c>
      <c r="H536" s="4"/>
    </row>
    <row r="537" spans="1:8">
      <c r="A537" t="s">
        <v>26</v>
      </c>
      <c r="B537" t="s">
        <v>27</v>
      </c>
      <c r="C537" t="s">
        <v>28</v>
      </c>
      <c r="D537" s="4">
        <v>45996</v>
      </c>
      <c r="E537">
        <v>498.1</v>
      </c>
      <c r="F537">
        <v>37.58</v>
      </c>
      <c r="G537">
        <v>460.52</v>
      </c>
      <c r="H537" s="4"/>
    </row>
    <row r="538" spans="1:8">
      <c r="A538" t="s">
        <v>26</v>
      </c>
      <c r="B538" t="s">
        <v>27</v>
      </c>
      <c r="C538" t="s">
        <v>28</v>
      </c>
      <c r="D538" s="4">
        <v>45996</v>
      </c>
      <c r="E538">
        <v>118.1</v>
      </c>
      <c r="F538">
        <v>35</v>
      </c>
      <c r="G538">
        <v>83.1</v>
      </c>
      <c r="H538" s="4"/>
    </row>
    <row r="539" spans="1:8">
      <c r="A539" t="s">
        <v>26</v>
      </c>
      <c r="B539" t="s">
        <v>27</v>
      </c>
      <c r="C539" t="s">
        <v>28</v>
      </c>
      <c r="D539" s="4">
        <v>45996</v>
      </c>
      <c r="E539">
        <v>248.1</v>
      </c>
      <c r="F539">
        <v>40.630000000000003</v>
      </c>
      <c r="G539">
        <v>207.47</v>
      </c>
      <c r="H539" s="4"/>
    </row>
    <row r="540" spans="1:8">
      <c r="A540" t="s">
        <v>26</v>
      </c>
      <c r="B540" t="s">
        <v>27</v>
      </c>
      <c r="C540" t="s">
        <v>28</v>
      </c>
      <c r="D540" s="4">
        <v>45996</v>
      </c>
      <c r="E540">
        <v>318.52</v>
      </c>
      <c r="F540">
        <v>35</v>
      </c>
      <c r="G540">
        <v>283.52</v>
      </c>
      <c r="H540" s="4"/>
    </row>
    <row r="541" spans="1:8">
      <c r="A541" t="s">
        <v>26</v>
      </c>
      <c r="B541" t="s">
        <v>27</v>
      </c>
      <c r="C541" t="s">
        <v>28</v>
      </c>
      <c r="D541" s="4">
        <v>45996</v>
      </c>
      <c r="E541">
        <v>188.1</v>
      </c>
      <c r="F541">
        <v>35</v>
      </c>
      <c r="G541">
        <v>153.1</v>
      </c>
      <c r="H541" s="4"/>
    </row>
    <row r="542" spans="1:8">
      <c r="A542" t="s">
        <v>26</v>
      </c>
      <c r="B542" t="s">
        <v>27</v>
      </c>
      <c r="C542" t="s">
        <v>28</v>
      </c>
      <c r="D542" s="4">
        <v>45996</v>
      </c>
      <c r="E542">
        <v>248.1</v>
      </c>
      <c r="F542">
        <v>35</v>
      </c>
      <c r="G542">
        <v>213.1</v>
      </c>
      <c r="H542" s="4"/>
    </row>
    <row r="543" spans="1:8">
      <c r="A543" t="s">
        <v>26</v>
      </c>
      <c r="B543" t="s">
        <v>27</v>
      </c>
      <c r="C543" t="s">
        <v>28</v>
      </c>
      <c r="D543" s="4">
        <v>45996</v>
      </c>
      <c r="E543">
        <v>620.32000000000005</v>
      </c>
      <c r="F543">
        <v>87.89</v>
      </c>
      <c r="G543">
        <v>532.42999999999995</v>
      </c>
      <c r="H543" s="4"/>
    </row>
    <row r="544" spans="1:8">
      <c r="A544" t="s">
        <v>26</v>
      </c>
      <c r="B544" t="s">
        <v>27</v>
      </c>
      <c r="C544" t="s">
        <v>28</v>
      </c>
      <c r="D544" s="4">
        <v>45996</v>
      </c>
      <c r="E544">
        <v>144.77000000000001</v>
      </c>
      <c r="F544">
        <v>35</v>
      </c>
      <c r="G544">
        <v>109.77</v>
      </c>
      <c r="H544" s="4"/>
    </row>
    <row r="545" spans="1:8">
      <c r="A545" t="s">
        <v>26</v>
      </c>
      <c r="B545" t="s">
        <v>27</v>
      </c>
      <c r="C545" t="s">
        <v>28</v>
      </c>
      <c r="D545" s="4">
        <v>45996</v>
      </c>
      <c r="E545">
        <v>414.77</v>
      </c>
      <c r="F545">
        <v>35.11</v>
      </c>
      <c r="G545">
        <v>379.66</v>
      </c>
      <c r="H545" s="4"/>
    </row>
    <row r="546" spans="1:8">
      <c r="A546" t="s">
        <v>26</v>
      </c>
      <c r="B546" t="s">
        <v>27</v>
      </c>
      <c r="C546" t="s">
        <v>28</v>
      </c>
      <c r="D546" s="4">
        <v>45996</v>
      </c>
      <c r="E546">
        <v>473.55</v>
      </c>
      <c r="F546">
        <v>58.38</v>
      </c>
      <c r="G546">
        <v>415.17</v>
      </c>
      <c r="H546" s="4"/>
    </row>
    <row r="547" spans="1:8">
      <c r="A547" t="s">
        <v>26</v>
      </c>
      <c r="B547" t="s">
        <v>27</v>
      </c>
      <c r="C547" t="s">
        <v>28</v>
      </c>
      <c r="D547" s="4">
        <v>45996</v>
      </c>
      <c r="E547">
        <v>528.1</v>
      </c>
      <c r="F547">
        <v>79.680000000000007</v>
      </c>
      <c r="G547">
        <v>448.42</v>
      </c>
      <c r="H547" s="4"/>
    </row>
    <row r="548" spans="1:8">
      <c r="A548" t="s">
        <v>26</v>
      </c>
      <c r="B548" t="s">
        <v>27</v>
      </c>
      <c r="C548" t="s">
        <v>28</v>
      </c>
      <c r="D548" s="4">
        <v>45996</v>
      </c>
      <c r="E548">
        <v>477.27</v>
      </c>
      <c r="F548">
        <v>58.84</v>
      </c>
      <c r="G548">
        <v>418.43</v>
      </c>
      <c r="H548" s="4"/>
    </row>
    <row r="549" spans="1:8">
      <c r="A549" t="s">
        <v>26</v>
      </c>
      <c r="B549" t="s">
        <v>27</v>
      </c>
      <c r="C549" t="s">
        <v>28</v>
      </c>
      <c r="D549" s="4">
        <v>45996</v>
      </c>
      <c r="E549">
        <v>339.68</v>
      </c>
      <c r="F549">
        <v>54.38</v>
      </c>
      <c r="G549">
        <v>285.3</v>
      </c>
      <c r="H549" s="4"/>
    </row>
    <row r="550" spans="1:8">
      <c r="A550" t="s">
        <v>26</v>
      </c>
      <c r="B550" t="s">
        <v>27</v>
      </c>
      <c r="C550" t="s">
        <v>28</v>
      </c>
      <c r="D550" s="4">
        <v>45996</v>
      </c>
      <c r="E550">
        <v>82.39</v>
      </c>
      <c r="F550">
        <v>35</v>
      </c>
      <c r="G550">
        <v>47.39</v>
      </c>
      <c r="H550" s="4"/>
    </row>
    <row r="551" spans="1:8">
      <c r="A551" t="s">
        <v>26</v>
      </c>
      <c r="B551" t="s">
        <v>27</v>
      </c>
      <c r="C551" t="s">
        <v>28</v>
      </c>
      <c r="D551" s="4">
        <v>45996</v>
      </c>
      <c r="E551">
        <v>552.79999999999995</v>
      </c>
      <c r="F551">
        <v>71.2</v>
      </c>
      <c r="G551">
        <v>481.6</v>
      </c>
      <c r="H551" s="4"/>
    </row>
    <row r="552" spans="1:8">
      <c r="A552" t="s">
        <v>26</v>
      </c>
      <c r="B552" t="s">
        <v>27</v>
      </c>
      <c r="C552" t="s">
        <v>28</v>
      </c>
      <c r="D552" s="4">
        <v>45996</v>
      </c>
      <c r="E552">
        <v>515.03</v>
      </c>
      <c r="F552">
        <v>42.64</v>
      </c>
      <c r="G552">
        <v>472.39</v>
      </c>
      <c r="H552" s="4"/>
    </row>
    <row r="553" spans="1:8">
      <c r="A553" t="s">
        <v>26</v>
      </c>
      <c r="B553" t="s">
        <v>27</v>
      </c>
      <c r="C553" t="s">
        <v>28</v>
      </c>
      <c r="D553" s="4">
        <v>45996</v>
      </c>
      <c r="E553">
        <v>838.53</v>
      </c>
      <c r="F553">
        <v>115.72</v>
      </c>
      <c r="G553">
        <v>722.81</v>
      </c>
      <c r="H553" s="4"/>
    </row>
    <row r="554" spans="1:8">
      <c r="A554" t="s">
        <v>26</v>
      </c>
      <c r="B554" t="s">
        <v>27</v>
      </c>
      <c r="C554" t="s">
        <v>28</v>
      </c>
      <c r="D554" s="4">
        <v>45996</v>
      </c>
      <c r="E554">
        <v>198.1</v>
      </c>
      <c r="F554">
        <v>35</v>
      </c>
      <c r="G554">
        <v>163.1</v>
      </c>
      <c r="H554" s="4"/>
    </row>
    <row r="555" spans="1:8">
      <c r="A555" t="s">
        <v>26</v>
      </c>
      <c r="B555" t="s">
        <v>27</v>
      </c>
      <c r="C555" t="s">
        <v>28</v>
      </c>
      <c r="D555" s="4">
        <v>45996</v>
      </c>
      <c r="E555">
        <v>595.96</v>
      </c>
      <c r="F555">
        <v>103.08</v>
      </c>
      <c r="G555">
        <v>492.88</v>
      </c>
      <c r="H555" s="4"/>
    </row>
    <row r="556" spans="1:8">
      <c r="A556" t="s">
        <v>26</v>
      </c>
      <c r="B556" t="s">
        <v>27</v>
      </c>
      <c r="C556" t="s">
        <v>28</v>
      </c>
      <c r="D556" s="4">
        <v>45996</v>
      </c>
      <c r="E556">
        <v>664.77</v>
      </c>
      <c r="F556">
        <v>89.29</v>
      </c>
      <c r="G556">
        <v>575.48</v>
      </c>
      <c r="H556" s="4"/>
    </row>
    <row r="557" spans="1:8">
      <c r="A557" t="s">
        <v>26</v>
      </c>
      <c r="B557" t="s">
        <v>27</v>
      </c>
      <c r="C557" t="s">
        <v>28</v>
      </c>
      <c r="D557" s="4">
        <v>45996</v>
      </c>
      <c r="E557">
        <v>48.1</v>
      </c>
      <c r="F557">
        <v>35</v>
      </c>
      <c r="G557">
        <v>13.1</v>
      </c>
      <c r="H557" s="4"/>
    </row>
    <row r="558" spans="1:8">
      <c r="A558" t="s">
        <v>26</v>
      </c>
      <c r="B558" t="s">
        <v>27</v>
      </c>
      <c r="C558" t="s">
        <v>28</v>
      </c>
      <c r="D558" s="4">
        <v>45996</v>
      </c>
      <c r="E558">
        <v>414.77</v>
      </c>
      <c r="F558">
        <v>58.76</v>
      </c>
      <c r="G558">
        <v>356.01</v>
      </c>
      <c r="H558" s="4"/>
    </row>
    <row r="559" spans="1:8">
      <c r="A559" t="s">
        <v>26</v>
      </c>
      <c r="B559" t="s">
        <v>27</v>
      </c>
      <c r="C559" t="s">
        <v>28</v>
      </c>
      <c r="D559" s="4">
        <v>45996</v>
      </c>
      <c r="E559">
        <v>199.35</v>
      </c>
      <c r="F559">
        <v>35</v>
      </c>
      <c r="G559">
        <v>164.35</v>
      </c>
      <c r="H559" s="4"/>
    </row>
    <row r="560" spans="1:8">
      <c r="A560" t="s">
        <v>26</v>
      </c>
      <c r="B560" t="s">
        <v>27</v>
      </c>
      <c r="C560" t="s">
        <v>28</v>
      </c>
      <c r="D560" s="4">
        <v>45996</v>
      </c>
      <c r="E560">
        <v>151.43</v>
      </c>
      <c r="F560">
        <v>35</v>
      </c>
      <c r="G560">
        <v>116.43</v>
      </c>
      <c r="H560" s="4"/>
    </row>
    <row r="561" spans="1:8">
      <c r="A561" t="s">
        <v>26</v>
      </c>
      <c r="B561" t="s">
        <v>27</v>
      </c>
      <c r="C561" t="s">
        <v>28</v>
      </c>
      <c r="D561" s="4">
        <v>45996</v>
      </c>
      <c r="E561">
        <v>664.77</v>
      </c>
      <c r="F561">
        <v>50.15</v>
      </c>
      <c r="G561">
        <v>614.62</v>
      </c>
      <c r="H561" s="4"/>
    </row>
    <row r="562" spans="1:8">
      <c r="A562" t="s">
        <v>26</v>
      </c>
      <c r="B562" t="s">
        <v>27</v>
      </c>
      <c r="C562" t="s">
        <v>28</v>
      </c>
      <c r="D562" s="4">
        <v>45996</v>
      </c>
      <c r="E562">
        <v>362.57</v>
      </c>
      <c r="F562">
        <v>35</v>
      </c>
      <c r="G562">
        <v>327.57</v>
      </c>
      <c r="H562" s="4"/>
    </row>
    <row r="563" spans="1:8">
      <c r="A563" t="s">
        <v>26</v>
      </c>
      <c r="B563" t="s">
        <v>27</v>
      </c>
      <c r="C563" t="s">
        <v>28</v>
      </c>
      <c r="D563" s="4">
        <v>45996</v>
      </c>
      <c r="E563">
        <v>498.1</v>
      </c>
      <c r="F563">
        <v>37.58</v>
      </c>
      <c r="G563">
        <v>460.52</v>
      </c>
      <c r="H563" s="4"/>
    </row>
    <row r="564" spans="1:8">
      <c r="A564" t="s">
        <v>26</v>
      </c>
      <c r="B564" t="s">
        <v>27</v>
      </c>
      <c r="C564" t="s">
        <v>28</v>
      </c>
      <c r="D564" s="4">
        <v>45996</v>
      </c>
      <c r="E564">
        <v>789.77</v>
      </c>
      <c r="F564">
        <v>55.22</v>
      </c>
      <c r="G564">
        <v>734.55</v>
      </c>
      <c r="H564" s="4"/>
    </row>
    <row r="565" spans="1:8">
      <c r="A565" t="s">
        <v>26</v>
      </c>
      <c r="B565" t="s">
        <v>27</v>
      </c>
      <c r="C565" t="s">
        <v>28</v>
      </c>
      <c r="D565" s="4">
        <v>45996</v>
      </c>
      <c r="E565">
        <v>515.03</v>
      </c>
      <c r="F565">
        <v>71.069999999999993</v>
      </c>
      <c r="G565">
        <v>443.96</v>
      </c>
      <c r="H565" s="4"/>
    </row>
    <row r="566" spans="1:8">
      <c r="A566" t="s">
        <v>26</v>
      </c>
      <c r="B566" t="s">
        <v>27</v>
      </c>
      <c r="C566" t="s">
        <v>28</v>
      </c>
      <c r="D566" s="4">
        <v>45996</v>
      </c>
      <c r="E566">
        <v>219.76</v>
      </c>
      <c r="F566">
        <v>35</v>
      </c>
      <c r="G566">
        <v>184.76</v>
      </c>
      <c r="H566" s="4"/>
    </row>
    <row r="567" spans="1:8">
      <c r="A567" t="s">
        <v>26</v>
      </c>
      <c r="B567" t="s">
        <v>27</v>
      </c>
      <c r="C567" t="s">
        <v>28</v>
      </c>
      <c r="D567" s="4">
        <v>45996</v>
      </c>
      <c r="E567">
        <v>231.43</v>
      </c>
      <c r="F567">
        <v>35</v>
      </c>
      <c r="G567">
        <v>196.43</v>
      </c>
      <c r="H567" s="4"/>
    </row>
    <row r="568" spans="1:8">
      <c r="A568" t="s">
        <v>26</v>
      </c>
      <c r="B568" t="s">
        <v>27</v>
      </c>
      <c r="C568" t="s">
        <v>28</v>
      </c>
      <c r="D568" s="4">
        <v>45996</v>
      </c>
      <c r="E568">
        <v>118.76</v>
      </c>
      <c r="F568">
        <v>35</v>
      </c>
      <c r="G568">
        <v>83.76</v>
      </c>
      <c r="H568" s="4"/>
    </row>
    <row r="569" spans="1:8">
      <c r="A569" t="s">
        <v>26</v>
      </c>
      <c r="B569" t="s">
        <v>27</v>
      </c>
      <c r="C569" t="s">
        <v>28</v>
      </c>
      <c r="D569" s="4">
        <v>45996</v>
      </c>
      <c r="E569">
        <v>298.10000000000002</v>
      </c>
      <c r="F569">
        <v>40.04</v>
      </c>
      <c r="G569">
        <v>258.06</v>
      </c>
      <c r="H569" s="4"/>
    </row>
    <row r="570" spans="1:8">
      <c r="A570" t="s">
        <v>26</v>
      </c>
      <c r="B570" t="s">
        <v>27</v>
      </c>
      <c r="C570" t="s">
        <v>28</v>
      </c>
      <c r="D570" s="4">
        <v>45996</v>
      </c>
      <c r="E570">
        <v>219.77</v>
      </c>
      <c r="F570">
        <v>35</v>
      </c>
      <c r="G570">
        <v>184.77</v>
      </c>
      <c r="H570" s="4"/>
    </row>
    <row r="571" spans="1:8">
      <c r="A571" t="s">
        <v>26</v>
      </c>
      <c r="B571" t="s">
        <v>27</v>
      </c>
      <c r="C571" t="s">
        <v>28</v>
      </c>
      <c r="D571" s="4">
        <v>45996</v>
      </c>
      <c r="E571">
        <v>902.35</v>
      </c>
      <c r="F571">
        <v>111.24</v>
      </c>
      <c r="G571">
        <v>791.11</v>
      </c>
      <c r="H571" s="4"/>
    </row>
    <row r="572" spans="1:8">
      <c r="A572" t="s">
        <v>26</v>
      </c>
      <c r="B572" t="s">
        <v>27</v>
      </c>
      <c r="C572" t="s">
        <v>28</v>
      </c>
      <c r="D572" s="4">
        <v>45996</v>
      </c>
      <c r="E572">
        <v>398.1</v>
      </c>
      <c r="F572">
        <v>68.86</v>
      </c>
      <c r="G572">
        <v>329.24</v>
      </c>
      <c r="H572" s="4"/>
    </row>
    <row r="573" spans="1:8">
      <c r="A573" t="s">
        <v>26</v>
      </c>
      <c r="B573" t="s">
        <v>27</v>
      </c>
      <c r="C573" t="s">
        <v>28</v>
      </c>
      <c r="D573" s="4">
        <v>45996</v>
      </c>
      <c r="E573">
        <v>118.76</v>
      </c>
      <c r="F573">
        <v>35</v>
      </c>
      <c r="G573">
        <v>83.76</v>
      </c>
      <c r="H573" s="4"/>
    </row>
    <row r="574" spans="1:8">
      <c r="A574" t="s">
        <v>26</v>
      </c>
      <c r="B574" t="s">
        <v>27</v>
      </c>
      <c r="C574" t="s">
        <v>28</v>
      </c>
      <c r="D574" s="4">
        <v>45996</v>
      </c>
      <c r="E574">
        <v>478.1</v>
      </c>
      <c r="F574">
        <v>35</v>
      </c>
      <c r="G574">
        <v>443.1</v>
      </c>
      <c r="H574" s="4"/>
    </row>
    <row r="575" spans="1:8">
      <c r="A575" t="s">
        <v>26</v>
      </c>
      <c r="B575" t="s">
        <v>27</v>
      </c>
      <c r="C575" t="s">
        <v>28</v>
      </c>
      <c r="D575" s="4">
        <v>45996</v>
      </c>
      <c r="E575">
        <v>581.29999999999995</v>
      </c>
      <c r="F575">
        <v>41.71</v>
      </c>
      <c r="G575">
        <v>539.59</v>
      </c>
      <c r="H575" s="4"/>
    </row>
    <row r="576" spans="1:8">
      <c r="A576" t="s">
        <v>26</v>
      </c>
      <c r="B576" t="s">
        <v>27</v>
      </c>
      <c r="C576" t="s">
        <v>28</v>
      </c>
      <c r="D576" s="4">
        <v>45996</v>
      </c>
      <c r="E576">
        <v>218.1</v>
      </c>
      <c r="F576">
        <v>35</v>
      </c>
      <c r="G576">
        <v>183.1</v>
      </c>
      <c r="H576" s="4"/>
    </row>
    <row r="577" spans="1:8">
      <c r="A577" t="s">
        <v>26</v>
      </c>
      <c r="B577" t="s">
        <v>27</v>
      </c>
      <c r="C577" t="s">
        <v>28</v>
      </c>
      <c r="D577" s="4">
        <v>45996</v>
      </c>
      <c r="E577">
        <v>583.45000000000005</v>
      </c>
      <c r="F577">
        <v>44.02</v>
      </c>
      <c r="G577">
        <v>539.42999999999995</v>
      </c>
      <c r="H577" s="4"/>
    </row>
    <row r="578" spans="1:8">
      <c r="A578" t="s">
        <v>26</v>
      </c>
      <c r="B578" t="s">
        <v>27</v>
      </c>
      <c r="C578" t="s">
        <v>28</v>
      </c>
      <c r="D578" s="4">
        <v>45996</v>
      </c>
      <c r="E578">
        <v>247.66</v>
      </c>
      <c r="F578">
        <v>35</v>
      </c>
      <c r="G578">
        <v>212.66</v>
      </c>
      <c r="H578" s="4"/>
    </row>
    <row r="579" spans="1:8">
      <c r="A579" t="s">
        <v>26</v>
      </c>
      <c r="B579" t="s">
        <v>27</v>
      </c>
      <c r="C579" t="s">
        <v>28</v>
      </c>
      <c r="D579" s="4">
        <v>45996</v>
      </c>
      <c r="E579">
        <v>414.77</v>
      </c>
      <c r="F579">
        <v>35.11</v>
      </c>
      <c r="G579">
        <v>379.66</v>
      </c>
      <c r="H579" s="4"/>
    </row>
    <row r="580" spans="1:8">
      <c r="A580" t="s">
        <v>26</v>
      </c>
      <c r="B580" t="s">
        <v>27</v>
      </c>
      <c r="C580" t="s">
        <v>28</v>
      </c>
      <c r="D580" s="4">
        <v>45996</v>
      </c>
      <c r="E580">
        <v>414.77</v>
      </c>
      <c r="F580">
        <v>39.69</v>
      </c>
      <c r="G580">
        <v>375.08</v>
      </c>
      <c r="H580" s="4"/>
    </row>
    <row r="581" spans="1:8">
      <c r="A581" t="s">
        <v>26</v>
      </c>
      <c r="B581" t="s">
        <v>27</v>
      </c>
      <c r="C581" t="s">
        <v>28</v>
      </c>
      <c r="D581" s="4">
        <v>45996</v>
      </c>
      <c r="E581">
        <v>94.49</v>
      </c>
      <c r="F581">
        <v>35</v>
      </c>
      <c r="G581">
        <v>59.49</v>
      </c>
      <c r="H581" s="4"/>
    </row>
    <row r="582" spans="1:8">
      <c r="A582" t="s">
        <v>26</v>
      </c>
      <c r="B582" t="s">
        <v>27</v>
      </c>
      <c r="C582" t="s">
        <v>28</v>
      </c>
      <c r="D582" s="4">
        <v>45996</v>
      </c>
      <c r="E582">
        <v>443.98</v>
      </c>
      <c r="F582">
        <v>37.58</v>
      </c>
      <c r="G582">
        <v>406.4</v>
      </c>
      <c r="H582" s="4"/>
    </row>
    <row r="583" spans="1:8">
      <c r="A583" t="s">
        <v>26</v>
      </c>
      <c r="B583" t="s">
        <v>27</v>
      </c>
      <c r="C583" t="s">
        <v>28</v>
      </c>
      <c r="D583" s="4">
        <v>45996</v>
      </c>
      <c r="E583">
        <v>339.68</v>
      </c>
      <c r="F583">
        <v>35</v>
      </c>
      <c r="G583">
        <v>304.68</v>
      </c>
      <c r="H583" s="4"/>
    </row>
    <row r="584" spans="1:8">
      <c r="A584" t="s">
        <v>26</v>
      </c>
      <c r="B584" t="s">
        <v>27</v>
      </c>
      <c r="C584" t="s">
        <v>28</v>
      </c>
      <c r="D584" s="4">
        <v>45996</v>
      </c>
      <c r="E584">
        <v>549.15</v>
      </c>
      <c r="F584">
        <v>67.7</v>
      </c>
      <c r="G584">
        <v>481.45</v>
      </c>
      <c r="H584" s="4"/>
    </row>
    <row r="585" spans="1:8">
      <c r="A585" t="s">
        <v>26</v>
      </c>
      <c r="B585" t="s">
        <v>27</v>
      </c>
      <c r="C585" t="s">
        <v>28</v>
      </c>
      <c r="D585" s="4">
        <v>45996</v>
      </c>
      <c r="E585">
        <v>398.1</v>
      </c>
      <c r="F585">
        <v>35</v>
      </c>
      <c r="G585">
        <v>363.1</v>
      </c>
      <c r="H585" s="4"/>
    </row>
    <row r="586" spans="1:8">
      <c r="A586" t="s">
        <v>26</v>
      </c>
      <c r="B586" t="s">
        <v>27</v>
      </c>
      <c r="C586" t="s">
        <v>28</v>
      </c>
      <c r="D586" s="4">
        <v>45996</v>
      </c>
      <c r="E586">
        <v>378.1</v>
      </c>
      <c r="F586">
        <v>66.09</v>
      </c>
      <c r="G586">
        <v>312.01</v>
      </c>
      <c r="H586" s="4"/>
    </row>
    <row r="587" spans="1:8">
      <c r="A587" t="s">
        <v>26</v>
      </c>
      <c r="B587" t="s">
        <v>27</v>
      </c>
      <c r="C587" t="s">
        <v>28</v>
      </c>
      <c r="D587" s="4">
        <v>45996</v>
      </c>
      <c r="E587">
        <v>198.1</v>
      </c>
      <c r="F587">
        <v>35</v>
      </c>
      <c r="G587">
        <v>163.1</v>
      </c>
      <c r="H587" s="4"/>
    </row>
    <row r="588" spans="1:8">
      <c r="A588" t="s">
        <v>26</v>
      </c>
      <c r="B588" t="s">
        <v>27</v>
      </c>
      <c r="C588" t="s">
        <v>28</v>
      </c>
      <c r="D588" s="4">
        <v>45996</v>
      </c>
      <c r="E588">
        <v>248.1</v>
      </c>
      <c r="F588">
        <v>35</v>
      </c>
      <c r="G588">
        <v>213.1</v>
      </c>
      <c r="H588" s="4"/>
    </row>
    <row r="589" spans="1:8">
      <c r="A589" t="s">
        <v>26</v>
      </c>
      <c r="B589" t="s">
        <v>27</v>
      </c>
      <c r="C589" t="s">
        <v>28</v>
      </c>
      <c r="D589" s="4">
        <v>46003</v>
      </c>
      <c r="E589">
        <v>218.1</v>
      </c>
      <c r="F589">
        <v>35</v>
      </c>
      <c r="G589">
        <v>183.1</v>
      </c>
      <c r="H589" s="4"/>
    </row>
    <row r="590" spans="1:8">
      <c r="A590" t="s">
        <v>26</v>
      </c>
      <c r="B590" t="s">
        <v>27</v>
      </c>
      <c r="C590" t="s">
        <v>28</v>
      </c>
      <c r="D590" s="4">
        <v>46003</v>
      </c>
      <c r="E590">
        <v>448.1</v>
      </c>
      <c r="F590">
        <v>35</v>
      </c>
      <c r="G590">
        <v>413.1</v>
      </c>
      <c r="H590" s="4"/>
    </row>
    <row r="591" spans="1:8">
      <c r="A591" t="s">
        <v>26</v>
      </c>
      <c r="B591" t="s">
        <v>27</v>
      </c>
      <c r="C591" t="s">
        <v>28</v>
      </c>
      <c r="D591" s="4">
        <v>46003</v>
      </c>
      <c r="E591">
        <v>498.1</v>
      </c>
      <c r="F591">
        <v>42.16</v>
      </c>
      <c r="G591">
        <v>455.94</v>
      </c>
      <c r="H591" s="4"/>
    </row>
    <row r="592" spans="1:8">
      <c r="A592" t="s">
        <v>26</v>
      </c>
      <c r="B592" t="s">
        <v>27</v>
      </c>
      <c r="C592" t="s">
        <v>28</v>
      </c>
      <c r="D592" s="4">
        <v>46003</v>
      </c>
      <c r="E592">
        <v>151.43</v>
      </c>
      <c r="F592">
        <v>35</v>
      </c>
      <c r="G592">
        <v>116.43</v>
      </c>
      <c r="H592" s="4"/>
    </row>
    <row r="593" spans="1:8">
      <c r="A593" t="s">
        <v>26</v>
      </c>
      <c r="B593" t="s">
        <v>27</v>
      </c>
      <c r="C593" t="s">
        <v>28</v>
      </c>
      <c r="D593" s="4">
        <v>46003</v>
      </c>
      <c r="E593">
        <v>151.43</v>
      </c>
      <c r="F593">
        <v>35</v>
      </c>
      <c r="G593">
        <v>116.43</v>
      </c>
      <c r="H593" s="4"/>
    </row>
    <row r="594" spans="1:8">
      <c r="A594" t="s">
        <v>26</v>
      </c>
      <c r="B594" t="s">
        <v>27</v>
      </c>
      <c r="C594" t="s">
        <v>28</v>
      </c>
      <c r="D594" s="4">
        <v>46003</v>
      </c>
      <c r="E594">
        <v>199.35</v>
      </c>
      <c r="F594">
        <v>35</v>
      </c>
      <c r="G594">
        <v>164.35</v>
      </c>
      <c r="H594" s="4"/>
    </row>
    <row r="595" spans="1:8">
      <c r="A595" t="s">
        <v>26</v>
      </c>
      <c r="B595" t="s">
        <v>27</v>
      </c>
      <c r="C595" t="s">
        <v>28</v>
      </c>
      <c r="D595" s="4">
        <v>46004</v>
      </c>
      <c r="E595">
        <v>94.49</v>
      </c>
      <c r="F595">
        <v>35</v>
      </c>
      <c r="G595">
        <v>59.49</v>
      </c>
      <c r="H595" s="4"/>
    </row>
    <row r="596" spans="1:8">
      <c r="A596" t="s">
        <v>26</v>
      </c>
      <c r="B596" t="s">
        <v>27</v>
      </c>
      <c r="C596" t="s">
        <v>28</v>
      </c>
      <c r="D596" s="4">
        <v>46004</v>
      </c>
      <c r="E596">
        <v>198.1</v>
      </c>
      <c r="F596">
        <v>35</v>
      </c>
      <c r="G596">
        <v>163.1</v>
      </c>
      <c r="H596" s="4"/>
    </row>
    <row r="597" spans="1:8">
      <c r="A597" t="s">
        <v>26</v>
      </c>
      <c r="B597" t="s">
        <v>27</v>
      </c>
      <c r="C597" t="s">
        <v>28</v>
      </c>
      <c r="D597" s="4">
        <v>46004</v>
      </c>
      <c r="E597">
        <v>789.77</v>
      </c>
      <c r="F597">
        <v>46.5</v>
      </c>
      <c r="G597">
        <v>743.27</v>
      </c>
      <c r="H597" s="4"/>
    </row>
    <row r="598" spans="1:8">
      <c r="A598" t="s">
        <v>26</v>
      </c>
      <c r="B598" t="s">
        <v>27</v>
      </c>
      <c r="C598" t="s">
        <v>28</v>
      </c>
      <c r="D598" s="4">
        <v>46004</v>
      </c>
      <c r="E598">
        <v>1523.46</v>
      </c>
      <c r="F598">
        <v>98.11</v>
      </c>
      <c r="G598">
        <v>1425.35</v>
      </c>
      <c r="H598" s="4"/>
    </row>
    <row r="599" spans="1:8">
      <c r="A599" t="s">
        <v>26</v>
      </c>
      <c r="B599" t="s">
        <v>27</v>
      </c>
      <c r="C599" t="s">
        <v>28</v>
      </c>
      <c r="D599" s="4">
        <v>46004</v>
      </c>
      <c r="E599">
        <v>341.8</v>
      </c>
      <c r="F599">
        <v>35</v>
      </c>
      <c r="G599">
        <v>306.8</v>
      </c>
      <c r="H599" s="4"/>
    </row>
    <row r="600" spans="1:8">
      <c r="A600" t="s">
        <v>26</v>
      </c>
      <c r="B600" t="s">
        <v>27</v>
      </c>
      <c r="C600" t="s">
        <v>28</v>
      </c>
      <c r="D600" s="4">
        <v>46004</v>
      </c>
      <c r="E600">
        <v>664.77</v>
      </c>
      <c r="F600">
        <v>42.81</v>
      </c>
      <c r="G600">
        <v>621.96</v>
      </c>
      <c r="H600" s="4"/>
    </row>
    <row r="601" spans="1:8">
      <c r="A601" t="s">
        <v>26</v>
      </c>
      <c r="B601" t="s">
        <v>27</v>
      </c>
      <c r="C601" t="s">
        <v>28</v>
      </c>
      <c r="D601" s="4">
        <v>46004</v>
      </c>
      <c r="E601">
        <v>334.85</v>
      </c>
      <c r="F601">
        <v>35</v>
      </c>
      <c r="G601">
        <v>299.85000000000002</v>
      </c>
      <c r="H601" s="4"/>
    </row>
    <row r="602" spans="1:8">
      <c r="A602" t="s">
        <v>26</v>
      </c>
      <c r="B602" t="s">
        <v>27</v>
      </c>
      <c r="C602" t="s">
        <v>28</v>
      </c>
      <c r="D602" s="4">
        <v>46004</v>
      </c>
      <c r="E602">
        <v>298.10000000000002</v>
      </c>
      <c r="F602">
        <v>36.75</v>
      </c>
      <c r="G602">
        <v>261.35000000000002</v>
      </c>
      <c r="H602" s="4"/>
    </row>
    <row r="603" spans="1:8">
      <c r="A603" t="s">
        <v>26</v>
      </c>
      <c r="B603" t="s">
        <v>27</v>
      </c>
      <c r="C603" t="s">
        <v>28</v>
      </c>
      <c r="D603" s="4">
        <v>46004</v>
      </c>
      <c r="E603">
        <v>278.10000000000002</v>
      </c>
      <c r="F603">
        <v>35</v>
      </c>
      <c r="G603">
        <v>243.1</v>
      </c>
      <c r="H603" s="4"/>
    </row>
    <row r="604" spans="1:8">
      <c r="A604" t="s">
        <v>26</v>
      </c>
      <c r="B604" t="s">
        <v>27</v>
      </c>
      <c r="C604" t="s">
        <v>28</v>
      </c>
      <c r="D604" s="4">
        <v>46004</v>
      </c>
      <c r="E604">
        <v>1048.0999999999999</v>
      </c>
      <c r="F604">
        <v>61.71</v>
      </c>
      <c r="G604">
        <v>986.39</v>
      </c>
      <c r="H604" s="4"/>
    </row>
    <row r="605" spans="1:8">
      <c r="A605" t="s">
        <v>26</v>
      </c>
      <c r="B605" t="s">
        <v>27</v>
      </c>
      <c r="C605" t="s">
        <v>28</v>
      </c>
      <c r="D605" s="4">
        <v>46004</v>
      </c>
      <c r="E605">
        <v>298.10000000000002</v>
      </c>
      <c r="F605">
        <v>35</v>
      </c>
      <c r="G605">
        <v>263.10000000000002</v>
      </c>
      <c r="H605" s="4"/>
    </row>
    <row r="606" spans="1:8">
      <c r="A606" t="s">
        <v>26</v>
      </c>
      <c r="B606" t="s">
        <v>27</v>
      </c>
      <c r="C606" t="s">
        <v>28</v>
      </c>
      <c r="D606" s="4">
        <v>46004</v>
      </c>
      <c r="E606">
        <v>595.96</v>
      </c>
      <c r="F606">
        <v>65.790000000000006</v>
      </c>
      <c r="G606">
        <v>530.16999999999996</v>
      </c>
      <c r="H606" s="4"/>
    </row>
    <row r="607" spans="1:8">
      <c r="A607" t="s">
        <v>26</v>
      </c>
      <c r="B607" t="s">
        <v>27</v>
      </c>
      <c r="C607" t="s">
        <v>28</v>
      </c>
      <c r="D607" s="4">
        <v>46004</v>
      </c>
      <c r="E607">
        <v>82.39</v>
      </c>
      <c r="F607">
        <v>35</v>
      </c>
      <c r="G607">
        <v>47.39</v>
      </c>
      <c r="H607" s="4"/>
    </row>
    <row r="608" spans="1:8">
      <c r="A608" t="s">
        <v>26</v>
      </c>
      <c r="B608" t="s">
        <v>27</v>
      </c>
      <c r="C608" t="s">
        <v>28</v>
      </c>
      <c r="D608" s="4">
        <v>46004</v>
      </c>
      <c r="E608">
        <v>838.53</v>
      </c>
      <c r="F608">
        <v>60.17</v>
      </c>
      <c r="G608">
        <v>778.36</v>
      </c>
      <c r="H608" s="4"/>
    </row>
    <row r="609" spans="1:8">
      <c r="A609" t="s">
        <v>26</v>
      </c>
      <c r="B609" t="s">
        <v>27</v>
      </c>
      <c r="C609" t="s">
        <v>28</v>
      </c>
      <c r="D609" s="4">
        <v>46004</v>
      </c>
      <c r="E609">
        <v>598.1</v>
      </c>
      <c r="F609">
        <v>38.520000000000003</v>
      </c>
      <c r="G609">
        <v>559.58000000000004</v>
      </c>
      <c r="H609" s="4"/>
    </row>
    <row r="610" spans="1:8">
      <c r="A610" t="s">
        <v>26</v>
      </c>
      <c r="B610" t="s">
        <v>27</v>
      </c>
      <c r="C610" t="s">
        <v>28</v>
      </c>
      <c r="D610" s="4">
        <v>46004</v>
      </c>
      <c r="E610">
        <v>478.1</v>
      </c>
      <c r="F610">
        <v>35</v>
      </c>
      <c r="G610">
        <v>443.1</v>
      </c>
      <c r="H610" s="4"/>
    </row>
    <row r="611" spans="1:8">
      <c r="A611" t="s">
        <v>26</v>
      </c>
      <c r="B611" t="s">
        <v>27</v>
      </c>
      <c r="C611" t="s">
        <v>28</v>
      </c>
      <c r="D611" s="4">
        <v>46004</v>
      </c>
      <c r="E611">
        <v>583.45000000000005</v>
      </c>
      <c r="F611">
        <v>37.57</v>
      </c>
      <c r="G611">
        <v>545.88</v>
      </c>
      <c r="H611" s="4"/>
    </row>
    <row r="612" spans="1:8">
      <c r="A612" t="s">
        <v>26</v>
      </c>
      <c r="B612" t="s">
        <v>27</v>
      </c>
      <c r="C612" t="s">
        <v>28</v>
      </c>
      <c r="D612" s="4">
        <v>46004</v>
      </c>
      <c r="E612">
        <v>328.1</v>
      </c>
      <c r="F612">
        <v>35</v>
      </c>
      <c r="G612">
        <v>293.10000000000002</v>
      </c>
      <c r="H612" s="4"/>
    </row>
    <row r="613" spans="1:8">
      <c r="A613" t="s">
        <v>26</v>
      </c>
      <c r="B613" t="s">
        <v>27</v>
      </c>
      <c r="C613" t="s">
        <v>28</v>
      </c>
      <c r="D613" s="4">
        <v>46004</v>
      </c>
      <c r="E613">
        <v>129.68</v>
      </c>
      <c r="F613">
        <v>35</v>
      </c>
      <c r="G613">
        <v>94.68</v>
      </c>
      <c r="H613" s="4"/>
    </row>
    <row r="614" spans="1:8">
      <c r="A614" t="s">
        <v>26</v>
      </c>
      <c r="B614" t="s">
        <v>27</v>
      </c>
      <c r="C614" t="s">
        <v>28</v>
      </c>
      <c r="D614" s="4">
        <v>46004</v>
      </c>
      <c r="E614">
        <v>528.1</v>
      </c>
      <c r="F614">
        <v>44.7</v>
      </c>
      <c r="G614">
        <v>483.4</v>
      </c>
      <c r="H614" s="4"/>
    </row>
    <row r="615" spans="1:8">
      <c r="A615" t="s">
        <v>26</v>
      </c>
      <c r="B615" t="s">
        <v>27</v>
      </c>
      <c r="C615" t="s">
        <v>28</v>
      </c>
      <c r="D615" s="4">
        <v>46004</v>
      </c>
      <c r="E615">
        <v>414.77</v>
      </c>
      <c r="F615">
        <v>35</v>
      </c>
      <c r="G615">
        <v>379.77</v>
      </c>
      <c r="H615" s="4"/>
    </row>
    <row r="616" spans="1:8">
      <c r="A616" t="s">
        <v>26</v>
      </c>
      <c r="B616" t="s">
        <v>27</v>
      </c>
      <c r="C616" t="s">
        <v>28</v>
      </c>
      <c r="D616" s="4">
        <v>46004</v>
      </c>
      <c r="E616">
        <v>1868.1</v>
      </c>
      <c r="F616">
        <v>137.49</v>
      </c>
      <c r="G616">
        <v>1730.61</v>
      </c>
      <c r="H616" s="4"/>
    </row>
    <row r="617" spans="1:8">
      <c r="A617" t="s">
        <v>26</v>
      </c>
      <c r="B617" t="s">
        <v>27</v>
      </c>
      <c r="C617" t="s">
        <v>28</v>
      </c>
      <c r="D617" s="4">
        <v>46004</v>
      </c>
      <c r="E617">
        <v>118.76</v>
      </c>
      <c r="F617">
        <v>35</v>
      </c>
      <c r="G617">
        <v>83.76</v>
      </c>
      <c r="H617" s="4"/>
    </row>
    <row r="618" spans="1:8">
      <c r="A618" t="s">
        <v>26</v>
      </c>
      <c r="B618" t="s">
        <v>27</v>
      </c>
      <c r="C618" t="s">
        <v>28</v>
      </c>
      <c r="D618" s="4">
        <v>46004</v>
      </c>
      <c r="E618">
        <v>339.68</v>
      </c>
      <c r="F618">
        <v>35</v>
      </c>
      <c r="G618">
        <v>304.68</v>
      </c>
      <c r="H618" s="4"/>
    </row>
    <row r="619" spans="1:8">
      <c r="A619" t="s">
        <v>26</v>
      </c>
      <c r="B619" t="s">
        <v>27</v>
      </c>
      <c r="C619" t="s">
        <v>28</v>
      </c>
      <c r="D619" s="4">
        <v>46004</v>
      </c>
      <c r="E619">
        <v>118.1</v>
      </c>
      <c r="F619">
        <v>35</v>
      </c>
      <c r="G619">
        <v>83.1</v>
      </c>
      <c r="H619" s="4"/>
    </row>
    <row r="620" spans="1:8">
      <c r="A620" t="s">
        <v>26</v>
      </c>
      <c r="B620" t="s">
        <v>27</v>
      </c>
      <c r="C620" t="s">
        <v>28</v>
      </c>
      <c r="D620" s="4">
        <v>46004</v>
      </c>
      <c r="E620">
        <v>191.47</v>
      </c>
      <c r="F620">
        <v>35</v>
      </c>
      <c r="G620">
        <v>156.47</v>
      </c>
      <c r="H620" s="4"/>
    </row>
    <row r="621" spans="1:8">
      <c r="A621" t="s">
        <v>26</v>
      </c>
      <c r="B621" t="s">
        <v>27</v>
      </c>
      <c r="C621" t="s">
        <v>28</v>
      </c>
      <c r="D621" s="4">
        <v>46004</v>
      </c>
      <c r="E621">
        <v>473.55</v>
      </c>
      <c r="F621">
        <v>35</v>
      </c>
      <c r="G621">
        <v>438.55</v>
      </c>
      <c r="H621" s="4"/>
    </row>
    <row r="622" spans="1:8">
      <c r="A622" t="s">
        <v>26</v>
      </c>
      <c r="B622" t="s">
        <v>27</v>
      </c>
      <c r="C622" t="s">
        <v>28</v>
      </c>
      <c r="D622" s="4">
        <v>46004</v>
      </c>
      <c r="E622">
        <v>248.1</v>
      </c>
      <c r="F622">
        <v>35</v>
      </c>
      <c r="G622">
        <v>213.1</v>
      </c>
      <c r="H622" s="4"/>
    </row>
    <row r="623" spans="1:8">
      <c r="A623" t="s">
        <v>26</v>
      </c>
      <c r="B623" t="s">
        <v>27</v>
      </c>
      <c r="C623" t="s">
        <v>28</v>
      </c>
      <c r="D623" s="4">
        <v>46004</v>
      </c>
      <c r="E623">
        <v>414.77</v>
      </c>
      <c r="F623">
        <v>35.11</v>
      </c>
      <c r="G623">
        <v>379.66</v>
      </c>
      <c r="H623" s="4"/>
    </row>
    <row r="624" spans="1:8">
      <c r="A624" t="s">
        <v>26</v>
      </c>
      <c r="B624" t="s">
        <v>27</v>
      </c>
      <c r="C624" t="s">
        <v>28</v>
      </c>
      <c r="D624" s="4">
        <v>46004</v>
      </c>
      <c r="E624">
        <v>525.6</v>
      </c>
      <c r="F624">
        <v>44.49</v>
      </c>
      <c r="G624">
        <v>481.11</v>
      </c>
      <c r="H624" s="4"/>
    </row>
    <row r="625" spans="1:8">
      <c r="A625" t="s">
        <v>26</v>
      </c>
      <c r="B625" t="s">
        <v>27</v>
      </c>
      <c r="C625" t="s">
        <v>28</v>
      </c>
      <c r="D625" s="4">
        <v>46004</v>
      </c>
      <c r="E625">
        <v>348.1</v>
      </c>
      <c r="F625">
        <v>35</v>
      </c>
      <c r="G625">
        <v>313.10000000000002</v>
      </c>
      <c r="H625" s="4"/>
    </row>
    <row r="626" spans="1:8">
      <c r="A626" t="s">
        <v>26</v>
      </c>
      <c r="B626" t="s">
        <v>27</v>
      </c>
      <c r="C626" t="s">
        <v>28</v>
      </c>
      <c r="D626" s="4">
        <v>46004</v>
      </c>
      <c r="E626">
        <v>524.1</v>
      </c>
      <c r="F626">
        <v>35</v>
      </c>
      <c r="G626">
        <v>489.1</v>
      </c>
      <c r="H626" s="4"/>
    </row>
    <row r="627" spans="1:8">
      <c r="A627" t="s">
        <v>26</v>
      </c>
      <c r="B627" t="s">
        <v>27</v>
      </c>
      <c r="C627" t="s">
        <v>28</v>
      </c>
      <c r="D627" s="4">
        <v>46004</v>
      </c>
      <c r="E627">
        <v>318.52</v>
      </c>
      <c r="F627">
        <v>35</v>
      </c>
      <c r="G627">
        <v>283.52</v>
      </c>
      <c r="H627" s="4"/>
    </row>
    <row r="628" spans="1:8">
      <c r="A628" t="s">
        <v>26</v>
      </c>
      <c r="B628" t="s">
        <v>27</v>
      </c>
      <c r="C628" t="s">
        <v>28</v>
      </c>
      <c r="D628" s="4">
        <v>46004</v>
      </c>
      <c r="E628">
        <v>274.10000000000002</v>
      </c>
      <c r="F628">
        <v>35</v>
      </c>
      <c r="G628">
        <v>239.1</v>
      </c>
      <c r="H628" s="4"/>
    </row>
    <row r="629" spans="1:8">
      <c r="A629" t="s">
        <v>26</v>
      </c>
      <c r="B629" t="s">
        <v>27</v>
      </c>
      <c r="C629" t="s">
        <v>28</v>
      </c>
      <c r="D629" s="4">
        <v>46004</v>
      </c>
      <c r="E629">
        <v>902.35</v>
      </c>
      <c r="F629">
        <v>53.13</v>
      </c>
      <c r="G629">
        <v>849.22</v>
      </c>
      <c r="H629" s="4"/>
    </row>
    <row r="630" spans="1:8">
      <c r="A630" t="s">
        <v>26</v>
      </c>
      <c r="B630" t="s">
        <v>27</v>
      </c>
      <c r="C630" t="s">
        <v>28</v>
      </c>
      <c r="D630" s="4">
        <v>46004</v>
      </c>
      <c r="E630">
        <v>144.77000000000001</v>
      </c>
      <c r="F630">
        <v>35</v>
      </c>
      <c r="G630">
        <v>109.77</v>
      </c>
      <c r="H630" s="4"/>
    </row>
    <row r="631" spans="1:8">
      <c r="A631" t="s">
        <v>26</v>
      </c>
      <c r="B631" t="s">
        <v>27</v>
      </c>
      <c r="C631" t="s">
        <v>28</v>
      </c>
      <c r="D631" s="4">
        <v>46004</v>
      </c>
      <c r="E631">
        <v>219.77</v>
      </c>
      <c r="F631">
        <v>35</v>
      </c>
      <c r="G631">
        <v>184.77</v>
      </c>
      <c r="H631" s="4"/>
    </row>
    <row r="632" spans="1:8">
      <c r="A632" t="s">
        <v>26</v>
      </c>
      <c r="B632" t="s">
        <v>27</v>
      </c>
      <c r="C632" t="s">
        <v>28</v>
      </c>
      <c r="D632" s="4">
        <v>46004</v>
      </c>
      <c r="E632">
        <v>515.03</v>
      </c>
      <c r="F632">
        <v>36.96</v>
      </c>
      <c r="G632">
        <v>478.07</v>
      </c>
      <c r="H632" s="4"/>
    </row>
    <row r="633" spans="1:8">
      <c r="A633" t="s">
        <v>26</v>
      </c>
      <c r="B633" t="s">
        <v>27</v>
      </c>
      <c r="C633" t="s">
        <v>28</v>
      </c>
      <c r="D633" s="4">
        <v>46004</v>
      </c>
      <c r="E633">
        <v>581.29999999999995</v>
      </c>
      <c r="F633">
        <v>35.299999999999997</v>
      </c>
      <c r="G633">
        <v>546</v>
      </c>
      <c r="H633" s="4"/>
    </row>
    <row r="634" spans="1:8">
      <c r="A634" t="s">
        <v>26</v>
      </c>
      <c r="B634" t="s">
        <v>27</v>
      </c>
      <c r="C634" t="s">
        <v>28</v>
      </c>
      <c r="D634" s="4">
        <v>46004</v>
      </c>
      <c r="E634">
        <v>443.98</v>
      </c>
      <c r="F634">
        <v>35</v>
      </c>
      <c r="G634">
        <v>408.98</v>
      </c>
      <c r="H634" s="4"/>
    </row>
    <row r="635" spans="1:8">
      <c r="A635" t="s">
        <v>26</v>
      </c>
      <c r="B635" t="s">
        <v>27</v>
      </c>
      <c r="C635" t="s">
        <v>28</v>
      </c>
      <c r="D635" s="4">
        <v>46004</v>
      </c>
      <c r="E635">
        <v>188.1</v>
      </c>
      <c r="F635">
        <v>35</v>
      </c>
      <c r="G635">
        <v>153.1</v>
      </c>
      <c r="H635" s="4"/>
    </row>
    <row r="636" spans="1:8">
      <c r="A636" t="s">
        <v>26</v>
      </c>
      <c r="B636" t="s">
        <v>27</v>
      </c>
      <c r="C636" t="s">
        <v>28</v>
      </c>
      <c r="D636" s="4">
        <v>46004</v>
      </c>
      <c r="E636">
        <v>498.1</v>
      </c>
      <c r="F636">
        <v>35</v>
      </c>
      <c r="G636">
        <v>463.1</v>
      </c>
      <c r="H636" s="4"/>
    </row>
    <row r="637" spans="1:8">
      <c r="A637" t="s">
        <v>26</v>
      </c>
      <c r="B637" t="s">
        <v>27</v>
      </c>
      <c r="C637" t="s">
        <v>28</v>
      </c>
      <c r="D637" s="4">
        <v>46004</v>
      </c>
      <c r="E637">
        <v>247.66</v>
      </c>
      <c r="F637">
        <v>35</v>
      </c>
      <c r="G637">
        <v>212.66</v>
      </c>
      <c r="H637" s="4"/>
    </row>
    <row r="638" spans="1:8">
      <c r="A638" t="s">
        <v>26</v>
      </c>
      <c r="B638" t="s">
        <v>27</v>
      </c>
      <c r="C638" t="s">
        <v>28</v>
      </c>
      <c r="D638" s="4">
        <v>46004</v>
      </c>
      <c r="E638">
        <v>620.32000000000005</v>
      </c>
      <c r="F638">
        <v>45.66</v>
      </c>
      <c r="G638">
        <v>574.66</v>
      </c>
      <c r="H638" s="4"/>
    </row>
    <row r="639" spans="1:8">
      <c r="A639" t="s">
        <v>26</v>
      </c>
      <c r="B639" t="s">
        <v>27</v>
      </c>
      <c r="C639" t="s">
        <v>28</v>
      </c>
      <c r="D639" s="4">
        <v>46004</v>
      </c>
      <c r="E639">
        <v>240.58</v>
      </c>
      <c r="F639">
        <v>35</v>
      </c>
      <c r="G639">
        <v>205.58</v>
      </c>
      <c r="H639" s="4"/>
    </row>
    <row r="640" spans="1:8">
      <c r="A640" t="s">
        <v>26</v>
      </c>
      <c r="B640" t="s">
        <v>27</v>
      </c>
      <c r="C640" t="s">
        <v>28</v>
      </c>
      <c r="D640" s="4">
        <v>46004</v>
      </c>
      <c r="E640">
        <v>549.15</v>
      </c>
      <c r="F640">
        <v>35</v>
      </c>
      <c r="G640">
        <v>514.15</v>
      </c>
      <c r="H640" s="4"/>
    </row>
    <row r="641" spans="1:8">
      <c r="A641" t="s">
        <v>26</v>
      </c>
      <c r="B641" t="s">
        <v>27</v>
      </c>
      <c r="C641" t="s">
        <v>28</v>
      </c>
      <c r="D641" s="4">
        <v>46004</v>
      </c>
      <c r="E641">
        <v>552.79999999999995</v>
      </c>
      <c r="F641">
        <v>35</v>
      </c>
      <c r="G641">
        <v>517.79999999999995</v>
      </c>
      <c r="H641" s="4"/>
    </row>
    <row r="642" spans="1:8">
      <c r="A642" t="s">
        <v>26</v>
      </c>
      <c r="B642" t="s">
        <v>27</v>
      </c>
      <c r="C642" t="s">
        <v>28</v>
      </c>
      <c r="D642" s="4">
        <v>46004</v>
      </c>
      <c r="E642">
        <v>498.1</v>
      </c>
      <c r="F642">
        <v>35</v>
      </c>
      <c r="G642">
        <v>463.1</v>
      </c>
      <c r="H642" s="4"/>
    </row>
    <row r="643" spans="1:8">
      <c r="A643" t="s">
        <v>26</v>
      </c>
      <c r="B643" t="s">
        <v>27</v>
      </c>
      <c r="C643" t="s">
        <v>28</v>
      </c>
      <c r="D643" s="4">
        <v>46004</v>
      </c>
      <c r="E643">
        <v>102.1</v>
      </c>
      <c r="F643">
        <v>35</v>
      </c>
      <c r="G643">
        <v>67.099999999999994</v>
      </c>
      <c r="H643" s="4"/>
    </row>
    <row r="644" spans="1:8">
      <c r="A644" t="s">
        <v>26</v>
      </c>
      <c r="B644" t="s">
        <v>27</v>
      </c>
      <c r="C644" t="s">
        <v>28</v>
      </c>
      <c r="D644" s="4">
        <v>46004</v>
      </c>
      <c r="E644">
        <v>594.79999999999995</v>
      </c>
      <c r="F644">
        <v>35.020000000000003</v>
      </c>
      <c r="G644">
        <v>559.78</v>
      </c>
      <c r="H644" s="4"/>
    </row>
    <row r="645" spans="1:8">
      <c r="A645" t="s">
        <v>26</v>
      </c>
      <c r="B645" t="s">
        <v>27</v>
      </c>
      <c r="C645" t="s">
        <v>28</v>
      </c>
      <c r="D645" s="4">
        <v>46004</v>
      </c>
      <c r="E645">
        <v>414.77</v>
      </c>
      <c r="F645">
        <v>35</v>
      </c>
      <c r="G645">
        <v>379.77</v>
      </c>
      <c r="H645" s="4"/>
    </row>
    <row r="646" spans="1:8">
      <c r="A646" t="s">
        <v>26</v>
      </c>
      <c r="B646" t="s">
        <v>27</v>
      </c>
      <c r="C646" t="s">
        <v>28</v>
      </c>
      <c r="D646" s="4">
        <v>46004</v>
      </c>
      <c r="E646">
        <v>248.1</v>
      </c>
      <c r="F646">
        <v>35</v>
      </c>
      <c r="G646">
        <v>213.1</v>
      </c>
      <c r="H646" s="4"/>
    </row>
    <row r="647" spans="1:8">
      <c r="A647" t="s">
        <v>26</v>
      </c>
      <c r="B647" t="s">
        <v>27</v>
      </c>
      <c r="C647" t="s">
        <v>28</v>
      </c>
      <c r="D647" s="4">
        <v>46004</v>
      </c>
      <c r="E647">
        <v>498.1</v>
      </c>
      <c r="F647">
        <v>35</v>
      </c>
      <c r="G647">
        <v>463.1</v>
      </c>
      <c r="H647" s="4"/>
    </row>
    <row r="648" spans="1:8">
      <c r="A648" t="s">
        <v>29</v>
      </c>
      <c r="B648" t="s">
        <v>30</v>
      </c>
      <c r="C648" t="s">
        <v>31</v>
      </c>
      <c r="D648" s="4">
        <v>45996</v>
      </c>
      <c r="E648">
        <v>617.15</v>
      </c>
      <c r="F648">
        <v>71.540000000000006</v>
      </c>
      <c r="G648">
        <v>545.61</v>
      </c>
      <c r="H648" s="4"/>
    </row>
    <row r="649" spans="1:8">
      <c r="A649" t="s">
        <v>29</v>
      </c>
      <c r="B649" t="s">
        <v>30</v>
      </c>
      <c r="C649" t="s">
        <v>31</v>
      </c>
      <c r="D649" s="4">
        <v>45996</v>
      </c>
      <c r="E649">
        <v>398.1</v>
      </c>
      <c r="F649">
        <v>44.68</v>
      </c>
      <c r="G649">
        <v>353.42</v>
      </c>
      <c r="H649" s="4"/>
    </row>
    <row r="650" spans="1:8">
      <c r="A650" t="s">
        <v>29</v>
      </c>
      <c r="B650" t="s">
        <v>30</v>
      </c>
      <c r="C650" t="s">
        <v>31</v>
      </c>
      <c r="D650" s="4">
        <v>45996</v>
      </c>
      <c r="E650">
        <v>389.4</v>
      </c>
      <c r="F650">
        <v>48.01</v>
      </c>
      <c r="G650">
        <v>341.39</v>
      </c>
      <c r="H650" s="4"/>
    </row>
    <row r="651" spans="1:8">
      <c r="A651" t="s">
        <v>29</v>
      </c>
      <c r="B651" t="s">
        <v>30</v>
      </c>
      <c r="C651" t="s">
        <v>31</v>
      </c>
      <c r="D651" s="4">
        <v>45996</v>
      </c>
      <c r="E651">
        <v>608.1</v>
      </c>
      <c r="F651">
        <v>35</v>
      </c>
      <c r="G651">
        <v>573.1</v>
      </c>
      <c r="H651" s="4"/>
    </row>
    <row r="652" spans="1:8">
      <c r="A652" t="s">
        <v>29</v>
      </c>
      <c r="B652" t="s">
        <v>30</v>
      </c>
      <c r="C652" t="s">
        <v>31</v>
      </c>
      <c r="D652" s="4">
        <v>45996</v>
      </c>
      <c r="E652">
        <v>543.1</v>
      </c>
      <c r="F652">
        <v>65.95</v>
      </c>
      <c r="G652">
        <v>477.15</v>
      </c>
      <c r="H652" s="4"/>
    </row>
    <row r="653" spans="1:8">
      <c r="A653" t="s">
        <v>29</v>
      </c>
      <c r="B653" t="s">
        <v>30</v>
      </c>
      <c r="C653" t="s">
        <v>31</v>
      </c>
      <c r="D653" s="4">
        <v>45996</v>
      </c>
      <c r="E653">
        <v>389.4</v>
      </c>
      <c r="F653">
        <v>35</v>
      </c>
      <c r="G653">
        <v>354.4</v>
      </c>
      <c r="H653" s="4"/>
    </row>
    <row r="654" spans="1:8">
      <c r="A654" t="s">
        <v>29</v>
      </c>
      <c r="B654" t="s">
        <v>30</v>
      </c>
      <c r="C654" t="s">
        <v>31</v>
      </c>
      <c r="D654" s="4">
        <v>45996</v>
      </c>
      <c r="E654">
        <v>398.1</v>
      </c>
      <c r="F654">
        <v>35</v>
      </c>
      <c r="G654">
        <v>363.1</v>
      </c>
      <c r="H654" s="4"/>
    </row>
    <row r="655" spans="1:8">
      <c r="A655" t="s">
        <v>29</v>
      </c>
      <c r="B655" t="s">
        <v>30</v>
      </c>
      <c r="C655" t="s">
        <v>31</v>
      </c>
      <c r="D655" s="4">
        <v>45996</v>
      </c>
      <c r="E655">
        <v>543.1</v>
      </c>
      <c r="F655">
        <v>94.93</v>
      </c>
      <c r="G655">
        <v>448.17</v>
      </c>
      <c r="H655" s="4"/>
    </row>
    <row r="656" spans="1:8">
      <c r="A656" t="s">
        <v>29</v>
      </c>
      <c r="B656" t="s">
        <v>30</v>
      </c>
      <c r="C656" t="s">
        <v>31</v>
      </c>
      <c r="D656" s="4">
        <v>45996</v>
      </c>
      <c r="E656">
        <v>268.10000000000002</v>
      </c>
      <c r="F656">
        <v>35</v>
      </c>
      <c r="G656">
        <v>233.1</v>
      </c>
      <c r="H656" s="4"/>
    </row>
    <row r="657" spans="1:8">
      <c r="A657" t="s">
        <v>29</v>
      </c>
      <c r="B657" t="s">
        <v>30</v>
      </c>
      <c r="C657" t="s">
        <v>31</v>
      </c>
      <c r="D657" s="4">
        <v>45996</v>
      </c>
      <c r="E657">
        <v>617.15</v>
      </c>
      <c r="F657">
        <v>106.74</v>
      </c>
      <c r="G657">
        <v>510.41</v>
      </c>
      <c r="H657" s="4"/>
    </row>
    <row r="658" spans="1:8">
      <c r="A658" t="s">
        <v>29</v>
      </c>
      <c r="B658" t="s">
        <v>30</v>
      </c>
      <c r="C658" t="s">
        <v>31</v>
      </c>
      <c r="D658" s="4">
        <v>45996</v>
      </c>
      <c r="E658">
        <v>498.1</v>
      </c>
      <c r="F658">
        <v>42.16</v>
      </c>
      <c r="G658">
        <v>455.94</v>
      </c>
      <c r="H658" s="4"/>
    </row>
    <row r="659" spans="1:8">
      <c r="A659" t="s">
        <v>29</v>
      </c>
      <c r="B659" t="s">
        <v>30</v>
      </c>
      <c r="C659" t="s">
        <v>31</v>
      </c>
      <c r="D659" s="4">
        <v>45996</v>
      </c>
      <c r="E659">
        <v>268.10000000000002</v>
      </c>
      <c r="F659">
        <v>35</v>
      </c>
      <c r="G659">
        <v>233.1</v>
      </c>
      <c r="H659" s="4"/>
    </row>
    <row r="660" spans="1:8">
      <c r="A660" t="s">
        <v>29</v>
      </c>
      <c r="B660" t="s">
        <v>30</v>
      </c>
      <c r="C660" t="s">
        <v>31</v>
      </c>
      <c r="D660" s="4">
        <v>45996</v>
      </c>
      <c r="E660">
        <v>617.15</v>
      </c>
      <c r="F660">
        <v>35.200000000000003</v>
      </c>
      <c r="G660">
        <v>581.95000000000005</v>
      </c>
      <c r="H660" s="4"/>
    </row>
    <row r="661" spans="1:8">
      <c r="A661" t="s">
        <v>29</v>
      </c>
      <c r="B661" t="s">
        <v>30</v>
      </c>
      <c r="C661" t="s">
        <v>31</v>
      </c>
      <c r="D661" s="4">
        <v>45996</v>
      </c>
      <c r="E661">
        <v>258.10000000000002</v>
      </c>
      <c r="F661">
        <v>35</v>
      </c>
      <c r="G661">
        <v>223.1</v>
      </c>
      <c r="H661" s="4"/>
    </row>
    <row r="662" spans="1:8">
      <c r="A662" t="s">
        <v>29</v>
      </c>
      <c r="B662" t="s">
        <v>30</v>
      </c>
      <c r="C662" t="s">
        <v>31</v>
      </c>
      <c r="D662" s="4">
        <v>45996</v>
      </c>
      <c r="E662">
        <v>483.84</v>
      </c>
      <c r="F662">
        <v>73</v>
      </c>
      <c r="G662">
        <v>410.84</v>
      </c>
      <c r="H662" s="4"/>
    </row>
    <row r="663" spans="1:8">
      <c r="A663" t="s">
        <v>29</v>
      </c>
      <c r="B663" t="s">
        <v>30</v>
      </c>
      <c r="C663" t="s">
        <v>31</v>
      </c>
      <c r="D663" s="4">
        <v>45996</v>
      </c>
      <c r="E663">
        <v>543.1</v>
      </c>
      <c r="F663">
        <v>35</v>
      </c>
      <c r="G663">
        <v>508.1</v>
      </c>
      <c r="H663" s="4"/>
    </row>
    <row r="664" spans="1:8">
      <c r="A664" t="s">
        <v>29</v>
      </c>
      <c r="B664" t="s">
        <v>30</v>
      </c>
      <c r="C664" t="s">
        <v>31</v>
      </c>
      <c r="D664" s="4">
        <v>45996</v>
      </c>
      <c r="E664">
        <v>483.81</v>
      </c>
      <c r="F664">
        <v>46.29</v>
      </c>
      <c r="G664">
        <v>437.52</v>
      </c>
      <c r="H664" s="4"/>
    </row>
    <row r="665" spans="1:8">
      <c r="A665" t="s">
        <v>29</v>
      </c>
      <c r="B665" t="s">
        <v>30</v>
      </c>
      <c r="C665" t="s">
        <v>31</v>
      </c>
      <c r="D665" s="4">
        <v>45996</v>
      </c>
      <c r="E665">
        <v>778.1</v>
      </c>
      <c r="F665">
        <v>104.51</v>
      </c>
      <c r="G665">
        <v>673.59</v>
      </c>
      <c r="H665" s="4"/>
    </row>
    <row r="666" spans="1:8">
      <c r="A666" t="s">
        <v>29</v>
      </c>
      <c r="B666" t="s">
        <v>30</v>
      </c>
      <c r="C666" t="s">
        <v>31</v>
      </c>
      <c r="D666" s="4">
        <v>45996</v>
      </c>
      <c r="E666">
        <v>373.1</v>
      </c>
      <c r="F666">
        <v>35.700000000000003</v>
      </c>
      <c r="G666">
        <v>337.4</v>
      </c>
      <c r="H666" s="4"/>
    </row>
    <row r="667" spans="1:8">
      <c r="A667" t="s">
        <v>29</v>
      </c>
      <c r="B667" t="s">
        <v>30</v>
      </c>
      <c r="C667" t="s">
        <v>31</v>
      </c>
      <c r="D667" s="4">
        <v>45996</v>
      </c>
      <c r="E667">
        <v>617.15</v>
      </c>
      <c r="F667">
        <v>70.400000000000006</v>
      </c>
      <c r="G667">
        <v>546.75</v>
      </c>
      <c r="H667" s="4"/>
    </row>
    <row r="668" spans="1:8">
      <c r="A668" t="s">
        <v>29</v>
      </c>
      <c r="B668" t="s">
        <v>30</v>
      </c>
      <c r="C668" t="s">
        <v>31</v>
      </c>
      <c r="D668" s="4">
        <v>45996</v>
      </c>
      <c r="E668">
        <v>668.93</v>
      </c>
      <c r="F668">
        <v>86.16</v>
      </c>
      <c r="G668">
        <v>582.77</v>
      </c>
      <c r="H668" s="4"/>
    </row>
    <row r="669" spans="1:8">
      <c r="A669" t="s">
        <v>29</v>
      </c>
      <c r="B669" t="s">
        <v>30</v>
      </c>
      <c r="C669" t="s">
        <v>31</v>
      </c>
      <c r="D669" s="4">
        <v>45996</v>
      </c>
      <c r="E669">
        <v>258.10000000000002</v>
      </c>
      <c r="F669">
        <v>35</v>
      </c>
      <c r="G669">
        <v>223.1</v>
      </c>
      <c r="H669" s="4"/>
    </row>
    <row r="670" spans="1:8">
      <c r="A670" t="s">
        <v>29</v>
      </c>
      <c r="B670" t="s">
        <v>30</v>
      </c>
      <c r="C670" t="s">
        <v>31</v>
      </c>
      <c r="D670" s="4">
        <v>45996</v>
      </c>
      <c r="E670">
        <v>778.1</v>
      </c>
      <c r="F670">
        <v>58.7</v>
      </c>
      <c r="G670">
        <v>719.4</v>
      </c>
      <c r="H670" s="4"/>
    </row>
    <row r="671" spans="1:8">
      <c r="A671" t="s">
        <v>29</v>
      </c>
      <c r="B671" t="s">
        <v>30</v>
      </c>
      <c r="C671" t="s">
        <v>31</v>
      </c>
      <c r="D671" s="4">
        <v>45996</v>
      </c>
      <c r="E671">
        <v>398.1</v>
      </c>
      <c r="F671">
        <v>68.86</v>
      </c>
      <c r="G671">
        <v>329.24</v>
      </c>
      <c r="H671" s="4"/>
    </row>
    <row r="672" spans="1:8">
      <c r="A672" t="s">
        <v>29</v>
      </c>
      <c r="B672" t="s">
        <v>30</v>
      </c>
      <c r="C672" t="s">
        <v>31</v>
      </c>
      <c r="D672" s="4">
        <v>45996</v>
      </c>
      <c r="E672">
        <v>617.15</v>
      </c>
      <c r="F672">
        <v>106.74</v>
      </c>
      <c r="G672">
        <v>510.41</v>
      </c>
      <c r="H672" s="4"/>
    </row>
    <row r="673" spans="1:8">
      <c r="A673" t="s">
        <v>32</v>
      </c>
      <c r="B673" t="s">
        <v>33</v>
      </c>
      <c r="C673" t="s">
        <v>34</v>
      </c>
      <c r="D673" s="4">
        <v>46003</v>
      </c>
      <c r="E673">
        <v>498.1</v>
      </c>
      <c r="F673">
        <v>139.31</v>
      </c>
      <c r="G673">
        <v>358.79</v>
      </c>
      <c r="H673" s="4"/>
    </row>
    <row r="674" spans="1:8">
      <c r="A674" t="s">
        <v>32</v>
      </c>
      <c r="B674" t="s">
        <v>33</v>
      </c>
      <c r="C674" t="s">
        <v>34</v>
      </c>
      <c r="D674" s="4">
        <v>46003</v>
      </c>
      <c r="E674">
        <v>848.1</v>
      </c>
      <c r="F674">
        <v>98.31</v>
      </c>
      <c r="G674">
        <v>749.79</v>
      </c>
      <c r="H674" s="4"/>
    </row>
    <row r="675" spans="1:8">
      <c r="A675" t="s">
        <v>32</v>
      </c>
      <c r="B675" t="s">
        <v>33</v>
      </c>
      <c r="C675" t="s">
        <v>34</v>
      </c>
      <c r="D675" s="4">
        <v>46003</v>
      </c>
      <c r="E675">
        <v>848.1</v>
      </c>
      <c r="F675">
        <v>142.01</v>
      </c>
      <c r="G675">
        <v>706.09</v>
      </c>
      <c r="H675" s="4"/>
    </row>
    <row r="676" spans="1:8">
      <c r="A676" t="s">
        <v>32</v>
      </c>
      <c r="B676" t="s">
        <v>33</v>
      </c>
      <c r="C676" t="s">
        <v>34</v>
      </c>
      <c r="D676" s="4">
        <v>46003</v>
      </c>
      <c r="E676">
        <v>498.1</v>
      </c>
      <c r="F676">
        <v>110.9</v>
      </c>
      <c r="G676">
        <v>387.2</v>
      </c>
      <c r="H676" s="4"/>
    </row>
    <row r="677" spans="1:8">
      <c r="A677" t="s">
        <v>32</v>
      </c>
      <c r="B677" t="s">
        <v>33</v>
      </c>
      <c r="C677" t="s">
        <v>34</v>
      </c>
      <c r="D677" s="4">
        <v>46003</v>
      </c>
      <c r="E677">
        <v>848.1</v>
      </c>
      <c r="F677">
        <v>237.2</v>
      </c>
      <c r="G677">
        <v>610.9</v>
      </c>
      <c r="H677" s="4"/>
    </row>
    <row r="678" spans="1:8">
      <c r="A678" t="s">
        <v>32</v>
      </c>
      <c r="B678" t="s">
        <v>33</v>
      </c>
      <c r="C678" t="s">
        <v>34</v>
      </c>
      <c r="D678" s="4">
        <v>46003</v>
      </c>
      <c r="E678">
        <v>1064.77</v>
      </c>
      <c r="F678">
        <v>276.24</v>
      </c>
      <c r="G678">
        <v>788.53</v>
      </c>
      <c r="H678" s="4"/>
    </row>
    <row r="679" spans="1:8">
      <c r="A679" t="s">
        <v>32</v>
      </c>
      <c r="B679" t="s">
        <v>33</v>
      </c>
      <c r="C679" t="s">
        <v>34</v>
      </c>
      <c r="D679" s="4">
        <v>46003</v>
      </c>
      <c r="E679">
        <v>1064.77</v>
      </c>
      <c r="F679">
        <v>160.65</v>
      </c>
      <c r="G679">
        <v>904.12</v>
      </c>
      <c r="H679" s="4"/>
    </row>
    <row r="680" spans="1:8">
      <c r="A680" t="s">
        <v>32</v>
      </c>
      <c r="B680" t="s">
        <v>33</v>
      </c>
      <c r="C680" t="s">
        <v>34</v>
      </c>
      <c r="D680" s="4">
        <v>46003</v>
      </c>
      <c r="E680">
        <v>848.1</v>
      </c>
      <c r="F680">
        <v>193.5</v>
      </c>
      <c r="G680">
        <v>654.6</v>
      </c>
      <c r="H680" s="4"/>
    </row>
    <row r="681" spans="1:8">
      <c r="A681" t="s">
        <v>32</v>
      </c>
      <c r="B681" t="s">
        <v>33</v>
      </c>
      <c r="C681" t="s">
        <v>34</v>
      </c>
      <c r="D681" s="4">
        <v>46003</v>
      </c>
      <c r="E681">
        <v>498.1</v>
      </c>
      <c r="F681">
        <v>35</v>
      </c>
      <c r="G681">
        <v>463.1</v>
      </c>
      <c r="H681" s="4"/>
    </row>
    <row r="682" spans="1:8">
      <c r="A682" t="s">
        <v>32</v>
      </c>
      <c r="B682" t="s">
        <v>33</v>
      </c>
      <c r="C682" t="s">
        <v>34</v>
      </c>
      <c r="D682" s="4">
        <v>46003</v>
      </c>
      <c r="E682">
        <v>498.1</v>
      </c>
      <c r="F682">
        <v>56.82</v>
      </c>
      <c r="G682">
        <v>441.28</v>
      </c>
      <c r="H682" s="4"/>
    </row>
    <row r="683" spans="1:8">
      <c r="A683" t="s">
        <v>32</v>
      </c>
      <c r="B683" t="s">
        <v>33</v>
      </c>
      <c r="C683" t="s">
        <v>34</v>
      </c>
      <c r="D683" s="4">
        <v>46003</v>
      </c>
      <c r="E683">
        <v>848.1</v>
      </c>
      <c r="F683">
        <v>51.5</v>
      </c>
      <c r="G683">
        <v>796.6</v>
      </c>
      <c r="H683" s="4"/>
    </row>
    <row r="684" spans="1:8">
      <c r="A684" t="s">
        <v>32</v>
      </c>
      <c r="B684" t="s">
        <v>33</v>
      </c>
      <c r="C684" t="s">
        <v>34</v>
      </c>
      <c r="D684" s="4">
        <v>46003</v>
      </c>
      <c r="E684">
        <v>1064.77</v>
      </c>
      <c r="F684">
        <v>99.92</v>
      </c>
      <c r="G684">
        <v>964.85</v>
      </c>
      <c r="H684" s="4"/>
    </row>
    <row r="685" spans="1:8">
      <c r="A685" t="s">
        <v>32</v>
      </c>
      <c r="B685" t="s">
        <v>33</v>
      </c>
      <c r="C685" t="s">
        <v>34</v>
      </c>
      <c r="D685" s="4">
        <v>46003</v>
      </c>
      <c r="E685">
        <v>498.1</v>
      </c>
      <c r="F685">
        <v>82.49</v>
      </c>
      <c r="G685">
        <v>415.61</v>
      </c>
      <c r="H685" s="4"/>
    </row>
    <row r="686" spans="1:8">
      <c r="A686" t="s">
        <v>32</v>
      </c>
      <c r="B686" t="s">
        <v>33</v>
      </c>
      <c r="C686" t="s">
        <v>34</v>
      </c>
      <c r="D686" s="4">
        <v>46003</v>
      </c>
      <c r="E686">
        <v>1064.77</v>
      </c>
      <c r="F686">
        <v>215.51</v>
      </c>
      <c r="G686">
        <v>849.26</v>
      </c>
      <c r="H686" s="4"/>
    </row>
    <row r="687" spans="1:8">
      <c r="A687" t="s">
        <v>35</v>
      </c>
      <c r="B687" t="s">
        <v>36</v>
      </c>
      <c r="C687" t="s">
        <v>37</v>
      </c>
      <c r="D687" s="4">
        <v>46009</v>
      </c>
      <c r="E687">
        <v>831.43</v>
      </c>
      <c r="F687">
        <v>157.13999999999999</v>
      </c>
      <c r="G687">
        <v>674.29</v>
      </c>
      <c r="H687" s="4"/>
    </row>
    <row r="688" spans="1:8">
      <c r="A688" t="s">
        <v>35</v>
      </c>
      <c r="B688" t="s">
        <v>36</v>
      </c>
      <c r="C688" t="s">
        <v>37</v>
      </c>
      <c r="D688" s="4">
        <v>46009</v>
      </c>
      <c r="E688">
        <v>498.1</v>
      </c>
      <c r="F688">
        <v>94.14</v>
      </c>
      <c r="G688">
        <v>403.96</v>
      </c>
      <c r="H688" s="4"/>
    </row>
    <row r="689" spans="1:8">
      <c r="A689" t="s">
        <v>35</v>
      </c>
      <c r="B689" t="s">
        <v>36</v>
      </c>
      <c r="C689" t="s">
        <v>37</v>
      </c>
      <c r="D689" s="4">
        <v>46009</v>
      </c>
      <c r="E689">
        <v>337.39</v>
      </c>
      <c r="F689">
        <v>63.77</v>
      </c>
      <c r="G689">
        <v>273.62</v>
      </c>
      <c r="H689" s="4"/>
    </row>
    <row r="690" spans="1:8">
      <c r="A690" t="s">
        <v>35</v>
      </c>
      <c r="B690" t="s">
        <v>36</v>
      </c>
      <c r="C690" t="s">
        <v>37</v>
      </c>
      <c r="D690" s="4">
        <v>46009</v>
      </c>
      <c r="E690">
        <v>998.1</v>
      </c>
      <c r="F690">
        <v>188.64</v>
      </c>
      <c r="G690">
        <v>809.46</v>
      </c>
      <c r="H690" s="4"/>
    </row>
    <row r="691" spans="1:8">
      <c r="A691" t="s">
        <v>35</v>
      </c>
      <c r="B691" t="s">
        <v>36</v>
      </c>
      <c r="C691" t="s">
        <v>37</v>
      </c>
      <c r="D691" s="4">
        <v>46009</v>
      </c>
      <c r="E691">
        <v>1098.0999999999999</v>
      </c>
      <c r="F691">
        <v>203.7</v>
      </c>
      <c r="G691">
        <v>894.4</v>
      </c>
      <c r="H691" s="4"/>
    </row>
    <row r="692" spans="1:8">
      <c r="A692" t="s">
        <v>35</v>
      </c>
      <c r="B692" t="s">
        <v>36</v>
      </c>
      <c r="C692" t="s">
        <v>37</v>
      </c>
      <c r="D692" s="4">
        <v>46009</v>
      </c>
      <c r="E692">
        <v>423.1</v>
      </c>
      <c r="F692">
        <v>79.97</v>
      </c>
      <c r="G692">
        <v>343.13</v>
      </c>
      <c r="H692" s="4"/>
    </row>
    <row r="693" spans="1:8">
      <c r="A693" t="s">
        <v>35</v>
      </c>
      <c r="B693" t="s">
        <v>36</v>
      </c>
      <c r="C693" t="s">
        <v>37</v>
      </c>
      <c r="D693" s="4">
        <v>46009</v>
      </c>
      <c r="E693">
        <v>435.6</v>
      </c>
      <c r="F693">
        <v>82.33</v>
      </c>
      <c r="G693">
        <v>353.27</v>
      </c>
      <c r="H693" s="4"/>
    </row>
    <row r="694" spans="1:8">
      <c r="A694" t="s">
        <v>35</v>
      </c>
      <c r="B694" t="s">
        <v>36</v>
      </c>
      <c r="C694" t="s">
        <v>37</v>
      </c>
      <c r="D694" s="4">
        <v>46009</v>
      </c>
      <c r="E694">
        <v>566.85</v>
      </c>
      <c r="F694">
        <v>107.13</v>
      </c>
      <c r="G694">
        <v>459.72</v>
      </c>
      <c r="H694" s="4"/>
    </row>
    <row r="695" spans="1:8">
      <c r="A695" t="s">
        <v>35</v>
      </c>
      <c r="B695" t="s">
        <v>36</v>
      </c>
      <c r="C695" t="s">
        <v>37</v>
      </c>
      <c r="D695" s="4">
        <v>46009</v>
      </c>
      <c r="E695">
        <v>384.77</v>
      </c>
      <c r="F695">
        <v>72.72</v>
      </c>
      <c r="G695">
        <v>312.05</v>
      </c>
      <c r="H695" s="4"/>
    </row>
    <row r="696" spans="1:8">
      <c r="A696" t="s">
        <v>35</v>
      </c>
      <c r="B696" t="s">
        <v>36</v>
      </c>
      <c r="C696" t="s">
        <v>37</v>
      </c>
      <c r="D696" s="4">
        <v>46009</v>
      </c>
      <c r="E696">
        <v>328.1</v>
      </c>
      <c r="F696">
        <v>40</v>
      </c>
      <c r="G696">
        <v>288.10000000000002</v>
      </c>
      <c r="H696" s="4"/>
    </row>
    <row r="697" spans="1:8">
      <c r="A697" t="s">
        <v>35</v>
      </c>
      <c r="B697" t="s">
        <v>36</v>
      </c>
      <c r="C697" t="s">
        <v>37</v>
      </c>
      <c r="D697" s="4">
        <v>46009</v>
      </c>
      <c r="E697">
        <v>581.42999999999995</v>
      </c>
      <c r="F697">
        <v>109.89</v>
      </c>
      <c r="G697">
        <v>471.54</v>
      </c>
      <c r="H697" s="4"/>
    </row>
    <row r="698" spans="1:8">
      <c r="A698" t="s">
        <v>35</v>
      </c>
      <c r="B698" t="s">
        <v>36</v>
      </c>
      <c r="C698" t="s">
        <v>37</v>
      </c>
      <c r="D698" s="4">
        <v>46009</v>
      </c>
      <c r="E698">
        <v>100.52</v>
      </c>
      <c r="F698">
        <v>40</v>
      </c>
      <c r="G698">
        <v>60.52</v>
      </c>
      <c r="H698" s="4"/>
    </row>
    <row r="699" spans="1:8">
      <c r="A699" t="s">
        <v>35</v>
      </c>
      <c r="B699" t="s">
        <v>36</v>
      </c>
      <c r="C699" t="s">
        <v>37</v>
      </c>
      <c r="D699" s="4">
        <v>46009</v>
      </c>
      <c r="E699">
        <v>512.23</v>
      </c>
      <c r="F699">
        <v>60.96</v>
      </c>
      <c r="G699">
        <v>451.27</v>
      </c>
      <c r="H699" s="4"/>
    </row>
    <row r="700" spans="1:8">
      <c r="A700" t="s">
        <v>35</v>
      </c>
      <c r="B700" t="s">
        <v>36</v>
      </c>
      <c r="C700" t="s">
        <v>37</v>
      </c>
      <c r="D700" s="4">
        <v>46009</v>
      </c>
      <c r="E700">
        <v>613.23</v>
      </c>
      <c r="F700">
        <v>68.680000000000007</v>
      </c>
      <c r="G700">
        <v>544.54999999999995</v>
      </c>
      <c r="H700" s="4"/>
    </row>
    <row r="701" spans="1:8">
      <c r="A701" t="s">
        <v>35</v>
      </c>
      <c r="B701" t="s">
        <v>36</v>
      </c>
      <c r="C701" t="s">
        <v>37</v>
      </c>
      <c r="D701" s="4">
        <v>46009</v>
      </c>
      <c r="E701">
        <v>519.84</v>
      </c>
      <c r="F701">
        <v>78.239999999999995</v>
      </c>
      <c r="G701">
        <v>441.6</v>
      </c>
      <c r="H701" s="4"/>
    </row>
    <row r="702" spans="1:8">
      <c r="A702" t="s">
        <v>35</v>
      </c>
      <c r="B702" t="s">
        <v>36</v>
      </c>
      <c r="C702" t="s">
        <v>37</v>
      </c>
      <c r="D702" s="4">
        <v>46009</v>
      </c>
      <c r="E702">
        <v>202.9</v>
      </c>
      <c r="F702">
        <v>40</v>
      </c>
      <c r="G702">
        <v>162.9</v>
      </c>
      <c r="H702" s="4"/>
    </row>
    <row r="703" spans="1:8">
      <c r="A703" t="s">
        <v>35</v>
      </c>
      <c r="B703" t="s">
        <v>36</v>
      </c>
      <c r="C703" t="s">
        <v>37</v>
      </c>
      <c r="D703" s="4">
        <v>46009</v>
      </c>
      <c r="E703">
        <v>998.1</v>
      </c>
      <c r="F703">
        <v>115.28</v>
      </c>
      <c r="G703">
        <v>882.82</v>
      </c>
      <c r="H703" s="4"/>
    </row>
    <row r="704" spans="1:8">
      <c r="A704" t="s">
        <v>35</v>
      </c>
      <c r="B704" t="s">
        <v>36</v>
      </c>
      <c r="C704" t="s">
        <v>37</v>
      </c>
      <c r="D704" s="4">
        <v>46009</v>
      </c>
      <c r="E704">
        <v>598.1</v>
      </c>
      <c r="F704">
        <v>110.95</v>
      </c>
      <c r="G704">
        <v>487.15</v>
      </c>
      <c r="H704" s="4"/>
    </row>
    <row r="705" spans="1:8">
      <c r="A705" t="s">
        <v>35</v>
      </c>
      <c r="B705" t="s">
        <v>36</v>
      </c>
      <c r="C705" t="s">
        <v>37</v>
      </c>
      <c r="D705" s="4">
        <v>46009</v>
      </c>
      <c r="E705">
        <v>519.42999999999995</v>
      </c>
      <c r="F705">
        <v>98.17</v>
      </c>
      <c r="G705">
        <v>421.26</v>
      </c>
      <c r="H705" s="4"/>
    </row>
    <row r="706" spans="1:8">
      <c r="A706" t="s">
        <v>35</v>
      </c>
      <c r="B706" t="s">
        <v>36</v>
      </c>
      <c r="C706" t="s">
        <v>37</v>
      </c>
      <c r="D706" s="4">
        <v>46009</v>
      </c>
      <c r="E706">
        <v>748.1</v>
      </c>
      <c r="F706">
        <v>141.38999999999999</v>
      </c>
      <c r="G706">
        <v>606.71</v>
      </c>
      <c r="H706" s="4"/>
    </row>
    <row r="707" spans="1:8">
      <c r="A707" t="s">
        <v>35</v>
      </c>
      <c r="B707" t="s">
        <v>36</v>
      </c>
      <c r="C707" t="s">
        <v>37</v>
      </c>
      <c r="D707" s="4">
        <v>46009</v>
      </c>
      <c r="E707">
        <v>488.1</v>
      </c>
      <c r="F707">
        <v>92.25</v>
      </c>
      <c r="G707">
        <v>395.85</v>
      </c>
      <c r="H707" s="4"/>
    </row>
    <row r="708" spans="1:8">
      <c r="A708" t="s">
        <v>35</v>
      </c>
      <c r="B708" t="s">
        <v>36</v>
      </c>
      <c r="C708" t="s">
        <v>37</v>
      </c>
      <c r="D708" s="4">
        <v>46009</v>
      </c>
      <c r="E708">
        <v>540.27</v>
      </c>
      <c r="F708">
        <v>102.11</v>
      </c>
      <c r="G708">
        <v>438.16</v>
      </c>
      <c r="H708" s="4"/>
    </row>
    <row r="709" spans="1:8">
      <c r="A709" t="s">
        <v>35</v>
      </c>
      <c r="B709" t="s">
        <v>36</v>
      </c>
      <c r="C709" t="s">
        <v>37</v>
      </c>
      <c r="D709" s="4">
        <v>46009</v>
      </c>
      <c r="E709">
        <v>656.56</v>
      </c>
      <c r="F709">
        <v>89.62</v>
      </c>
      <c r="G709">
        <v>566.94000000000005</v>
      </c>
      <c r="H709" s="4"/>
    </row>
    <row r="710" spans="1:8">
      <c r="A710" t="s">
        <v>35</v>
      </c>
      <c r="B710" t="s">
        <v>36</v>
      </c>
      <c r="C710" t="s">
        <v>37</v>
      </c>
      <c r="D710" s="4">
        <v>46009</v>
      </c>
      <c r="E710">
        <v>381.43</v>
      </c>
      <c r="F710">
        <v>42.72</v>
      </c>
      <c r="G710">
        <v>338.71</v>
      </c>
      <c r="H710" s="4"/>
    </row>
    <row r="711" spans="1:8">
      <c r="A711" t="s">
        <v>35</v>
      </c>
      <c r="B711" t="s">
        <v>36</v>
      </c>
      <c r="C711" t="s">
        <v>37</v>
      </c>
      <c r="D711" s="4">
        <v>46009</v>
      </c>
      <c r="E711">
        <v>685.06</v>
      </c>
      <c r="F711">
        <v>129.47999999999999</v>
      </c>
      <c r="G711">
        <v>555.58000000000004</v>
      </c>
      <c r="H711" s="4"/>
    </row>
    <row r="712" spans="1:8">
      <c r="A712" t="s">
        <v>35</v>
      </c>
      <c r="B712" t="s">
        <v>36</v>
      </c>
      <c r="C712" t="s">
        <v>37</v>
      </c>
      <c r="D712" s="4">
        <v>46009</v>
      </c>
      <c r="E712">
        <v>788.1</v>
      </c>
      <c r="F712">
        <v>148.94999999999999</v>
      </c>
      <c r="G712">
        <v>639.15</v>
      </c>
      <c r="H712" s="4"/>
    </row>
    <row r="713" spans="1:8">
      <c r="A713" t="s">
        <v>35</v>
      </c>
      <c r="B713" t="s">
        <v>36</v>
      </c>
      <c r="C713" t="s">
        <v>37</v>
      </c>
      <c r="D713" s="4">
        <v>46009</v>
      </c>
      <c r="E713">
        <v>712.39</v>
      </c>
      <c r="F713">
        <v>134.63999999999999</v>
      </c>
      <c r="G713">
        <v>577.75</v>
      </c>
      <c r="H713" s="4"/>
    </row>
    <row r="714" spans="1:8">
      <c r="A714" t="s">
        <v>35</v>
      </c>
      <c r="B714" t="s">
        <v>36</v>
      </c>
      <c r="C714" t="s">
        <v>37</v>
      </c>
      <c r="D714" s="4">
        <v>46009</v>
      </c>
      <c r="E714">
        <v>203.72</v>
      </c>
      <c r="F714">
        <v>40</v>
      </c>
      <c r="G714">
        <v>163.72</v>
      </c>
      <c r="H714" s="4"/>
    </row>
    <row r="715" spans="1:8">
      <c r="A715" t="s">
        <v>35</v>
      </c>
      <c r="B715" t="s">
        <v>36</v>
      </c>
      <c r="C715" t="s">
        <v>37</v>
      </c>
      <c r="D715" s="4">
        <v>46009</v>
      </c>
      <c r="E715">
        <v>498.1</v>
      </c>
      <c r="F715">
        <v>67.989999999999995</v>
      </c>
      <c r="G715">
        <v>430.11</v>
      </c>
      <c r="H715" s="4"/>
    </row>
    <row r="716" spans="1:8">
      <c r="A716" t="s">
        <v>35</v>
      </c>
      <c r="B716" t="s">
        <v>36</v>
      </c>
      <c r="C716" t="s">
        <v>37</v>
      </c>
      <c r="D716" s="4">
        <v>46009</v>
      </c>
      <c r="E716">
        <v>419.15</v>
      </c>
      <c r="F716">
        <v>79.22</v>
      </c>
      <c r="G716">
        <v>339.93</v>
      </c>
      <c r="H716" s="4"/>
    </row>
    <row r="717" spans="1:8">
      <c r="A717" t="s">
        <v>35</v>
      </c>
      <c r="B717" t="s">
        <v>36</v>
      </c>
      <c r="C717" t="s">
        <v>37</v>
      </c>
      <c r="D717" s="4">
        <v>46021</v>
      </c>
      <c r="E717">
        <v>598.1</v>
      </c>
      <c r="F717">
        <v>144.44</v>
      </c>
      <c r="G717">
        <v>453.66</v>
      </c>
      <c r="H717" s="4"/>
    </row>
    <row r="718" spans="1:8">
      <c r="A718" t="s">
        <v>35</v>
      </c>
      <c r="B718" t="s">
        <v>36</v>
      </c>
      <c r="C718" t="s">
        <v>37</v>
      </c>
      <c r="D718" s="4">
        <v>46021</v>
      </c>
      <c r="E718">
        <v>939.77</v>
      </c>
      <c r="F718">
        <v>157.88</v>
      </c>
      <c r="G718">
        <v>781.89</v>
      </c>
      <c r="H718" s="4"/>
    </row>
    <row r="719" spans="1:8">
      <c r="A719" t="s">
        <v>35</v>
      </c>
      <c r="B719" t="s">
        <v>36</v>
      </c>
      <c r="C719" t="s">
        <v>37</v>
      </c>
      <c r="D719" s="4">
        <v>46021</v>
      </c>
      <c r="E719">
        <v>410.6</v>
      </c>
      <c r="F719">
        <v>68.98</v>
      </c>
      <c r="G719">
        <v>341.62</v>
      </c>
      <c r="H719" s="4"/>
    </row>
    <row r="720" spans="1:8">
      <c r="A720" t="s">
        <v>35</v>
      </c>
      <c r="B720" t="s">
        <v>36</v>
      </c>
      <c r="C720" t="s">
        <v>37</v>
      </c>
      <c r="D720" s="4">
        <v>46021</v>
      </c>
      <c r="E720">
        <v>381.43</v>
      </c>
      <c r="F720">
        <v>66.75</v>
      </c>
      <c r="G720">
        <v>314.68</v>
      </c>
      <c r="H720" s="4"/>
    </row>
    <row r="721" spans="1:8">
      <c r="A721" t="s">
        <v>35</v>
      </c>
      <c r="B721" t="s">
        <v>36</v>
      </c>
      <c r="C721" t="s">
        <v>37</v>
      </c>
      <c r="D721" s="4">
        <v>46021</v>
      </c>
      <c r="E721">
        <v>328.1</v>
      </c>
      <c r="F721">
        <v>59.71</v>
      </c>
      <c r="G721">
        <v>268.39</v>
      </c>
      <c r="H721" s="4"/>
    </row>
    <row r="722" spans="1:8">
      <c r="A722" t="s">
        <v>35</v>
      </c>
      <c r="B722" t="s">
        <v>36</v>
      </c>
      <c r="C722" t="s">
        <v>37</v>
      </c>
      <c r="D722" s="4">
        <v>46021</v>
      </c>
      <c r="E722">
        <v>202.9</v>
      </c>
      <c r="F722">
        <v>40</v>
      </c>
      <c r="G722">
        <v>162.9</v>
      </c>
      <c r="H722" s="4"/>
    </row>
    <row r="723" spans="1:8">
      <c r="A723" t="s">
        <v>35</v>
      </c>
      <c r="B723" t="s">
        <v>36</v>
      </c>
      <c r="C723" t="s">
        <v>37</v>
      </c>
      <c r="D723" s="4">
        <v>46021</v>
      </c>
      <c r="E723">
        <v>198.1</v>
      </c>
      <c r="F723">
        <v>40</v>
      </c>
      <c r="G723">
        <v>158.1</v>
      </c>
      <c r="H723" s="4"/>
    </row>
    <row r="724" spans="1:8">
      <c r="A724" t="s">
        <v>35</v>
      </c>
      <c r="B724" t="s">
        <v>36</v>
      </c>
      <c r="C724" t="s">
        <v>37</v>
      </c>
      <c r="D724" s="4">
        <v>46021</v>
      </c>
      <c r="E724">
        <v>656.56</v>
      </c>
      <c r="F724">
        <v>130.97999999999999</v>
      </c>
      <c r="G724">
        <v>525.58000000000004</v>
      </c>
      <c r="H724" s="4"/>
    </row>
    <row r="725" spans="1:8">
      <c r="A725" t="s">
        <v>35</v>
      </c>
      <c r="B725" t="s">
        <v>36</v>
      </c>
      <c r="C725" t="s">
        <v>37</v>
      </c>
      <c r="D725" s="4">
        <v>46021</v>
      </c>
      <c r="E725">
        <v>512.23</v>
      </c>
      <c r="F725">
        <v>98.6</v>
      </c>
      <c r="G725">
        <v>413.63</v>
      </c>
      <c r="H725" s="4"/>
    </row>
    <row r="726" spans="1:8">
      <c r="A726" t="s">
        <v>35</v>
      </c>
      <c r="B726" t="s">
        <v>36</v>
      </c>
      <c r="C726" t="s">
        <v>37</v>
      </c>
      <c r="D726" s="4">
        <v>46021</v>
      </c>
      <c r="E726">
        <v>1098.0999999999999</v>
      </c>
      <c r="F726">
        <v>265.19</v>
      </c>
      <c r="G726">
        <v>832.91</v>
      </c>
      <c r="H726" s="4"/>
    </row>
    <row r="727" spans="1:8">
      <c r="A727" t="s">
        <v>35</v>
      </c>
      <c r="B727" t="s">
        <v>36</v>
      </c>
      <c r="C727" t="s">
        <v>37</v>
      </c>
      <c r="D727" s="4">
        <v>46021</v>
      </c>
      <c r="E727">
        <v>402.45</v>
      </c>
      <c r="F727">
        <v>67.61</v>
      </c>
      <c r="G727">
        <v>334.84</v>
      </c>
      <c r="H727" s="4"/>
    </row>
    <row r="728" spans="1:8">
      <c r="A728" t="s">
        <v>35</v>
      </c>
      <c r="B728" t="s">
        <v>36</v>
      </c>
      <c r="C728" t="s">
        <v>37</v>
      </c>
      <c r="D728" s="4">
        <v>46021</v>
      </c>
      <c r="E728">
        <v>498.1</v>
      </c>
      <c r="F728">
        <v>97.63</v>
      </c>
      <c r="G728">
        <v>400.47</v>
      </c>
      <c r="H728" s="4"/>
    </row>
    <row r="729" spans="1:8">
      <c r="A729" t="s">
        <v>35</v>
      </c>
      <c r="B729" t="s">
        <v>36</v>
      </c>
      <c r="C729" t="s">
        <v>37</v>
      </c>
      <c r="D729" s="4">
        <v>46021</v>
      </c>
      <c r="E729">
        <v>1680.32</v>
      </c>
      <c r="F729">
        <v>282.29000000000002</v>
      </c>
      <c r="G729">
        <v>1398.03</v>
      </c>
      <c r="H729" s="4"/>
    </row>
    <row r="730" spans="1:8">
      <c r="A730" t="s">
        <v>35</v>
      </c>
      <c r="B730" t="s">
        <v>36</v>
      </c>
      <c r="C730" t="s">
        <v>37</v>
      </c>
      <c r="D730" s="4">
        <v>46021</v>
      </c>
      <c r="E730">
        <v>403.98</v>
      </c>
      <c r="F730">
        <v>67.87</v>
      </c>
      <c r="G730">
        <v>336.11</v>
      </c>
      <c r="H730" s="4"/>
    </row>
    <row r="731" spans="1:8">
      <c r="A731" t="s">
        <v>35</v>
      </c>
      <c r="B731" t="s">
        <v>36</v>
      </c>
      <c r="C731" t="s">
        <v>37</v>
      </c>
      <c r="D731" s="4">
        <v>46021</v>
      </c>
      <c r="E731">
        <v>519.84</v>
      </c>
      <c r="F731">
        <v>112.81</v>
      </c>
      <c r="G731">
        <v>407.03</v>
      </c>
      <c r="H731" s="4"/>
    </row>
    <row r="732" spans="1:8">
      <c r="A732" t="s">
        <v>35</v>
      </c>
      <c r="B732" t="s">
        <v>36</v>
      </c>
      <c r="C732" t="s">
        <v>37</v>
      </c>
      <c r="D732" s="4">
        <v>46021</v>
      </c>
      <c r="E732">
        <v>539.77</v>
      </c>
      <c r="F732">
        <v>90.68</v>
      </c>
      <c r="G732">
        <v>449.09</v>
      </c>
      <c r="H732" s="4"/>
    </row>
    <row r="733" spans="1:8">
      <c r="A733" t="s">
        <v>35</v>
      </c>
      <c r="B733" t="s">
        <v>36</v>
      </c>
      <c r="C733" t="s">
        <v>37</v>
      </c>
      <c r="D733" s="4">
        <v>46021</v>
      </c>
      <c r="E733">
        <v>613.23</v>
      </c>
      <c r="F733">
        <v>107.32</v>
      </c>
      <c r="G733">
        <v>505.91</v>
      </c>
      <c r="H733" s="4"/>
    </row>
    <row r="734" spans="1:8">
      <c r="A734" t="s">
        <v>38</v>
      </c>
      <c r="B734" t="s">
        <v>39</v>
      </c>
      <c r="C734" t="s">
        <v>40</v>
      </c>
      <c r="D734" s="4">
        <v>45996</v>
      </c>
      <c r="E734">
        <v>206.43</v>
      </c>
      <c r="F734">
        <v>35</v>
      </c>
      <c r="G734">
        <v>171.43</v>
      </c>
      <c r="H734" s="4"/>
    </row>
    <row r="735" spans="1:8">
      <c r="A735" t="s">
        <v>38</v>
      </c>
      <c r="B735" t="s">
        <v>39</v>
      </c>
      <c r="C735" t="s">
        <v>40</v>
      </c>
      <c r="D735" s="4">
        <v>45996</v>
      </c>
      <c r="E735">
        <v>231.43</v>
      </c>
      <c r="F735">
        <v>35</v>
      </c>
      <c r="G735">
        <v>196.43</v>
      </c>
      <c r="H735" s="4"/>
    </row>
    <row r="736" spans="1:8">
      <c r="A736" t="s">
        <v>38</v>
      </c>
      <c r="B736" t="s">
        <v>39</v>
      </c>
      <c r="C736" t="s">
        <v>40</v>
      </c>
      <c r="D736" s="4">
        <v>45996</v>
      </c>
      <c r="E736">
        <v>173.1</v>
      </c>
      <c r="F736">
        <v>35</v>
      </c>
      <c r="G736">
        <v>138.1</v>
      </c>
      <c r="H736" s="4"/>
    </row>
    <row r="737" spans="1:8">
      <c r="A737" t="s">
        <v>38</v>
      </c>
      <c r="B737" t="s">
        <v>39</v>
      </c>
      <c r="C737" t="s">
        <v>40</v>
      </c>
      <c r="D737" s="4">
        <v>45996</v>
      </c>
      <c r="E737">
        <v>123.1</v>
      </c>
      <c r="F737">
        <v>35</v>
      </c>
      <c r="G737">
        <v>88.1</v>
      </c>
      <c r="H737" s="4"/>
    </row>
    <row r="738" spans="1:8">
      <c r="A738" t="s">
        <v>38</v>
      </c>
      <c r="B738" t="s">
        <v>39</v>
      </c>
      <c r="C738" t="s">
        <v>40</v>
      </c>
      <c r="D738" s="4">
        <v>45996</v>
      </c>
      <c r="E738">
        <v>173.1</v>
      </c>
      <c r="F738">
        <v>35</v>
      </c>
      <c r="G738">
        <v>138.1</v>
      </c>
      <c r="H738" s="4"/>
    </row>
    <row r="739" spans="1:8">
      <c r="A739" t="s">
        <v>38</v>
      </c>
      <c r="B739" t="s">
        <v>39</v>
      </c>
      <c r="C739" t="s">
        <v>40</v>
      </c>
      <c r="D739" s="4">
        <v>45996</v>
      </c>
      <c r="E739">
        <v>499.53</v>
      </c>
      <c r="F739">
        <v>88.24</v>
      </c>
      <c r="G739">
        <v>411.29</v>
      </c>
      <c r="H739" s="4"/>
    </row>
    <row r="740" spans="1:8">
      <c r="A740" t="s">
        <v>38</v>
      </c>
      <c r="B740" t="s">
        <v>39</v>
      </c>
      <c r="C740" t="s">
        <v>40</v>
      </c>
      <c r="D740" s="4">
        <v>45996</v>
      </c>
      <c r="E740">
        <v>499.53</v>
      </c>
      <c r="F740">
        <v>62.5</v>
      </c>
      <c r="G740">
        <v>437.03</v>
      </c>
      <c r="H740" s="4"/>
    </row>
    <row r="741" spans="1:8">
      <c r="A741" t="s">
        <v>38</v>
      </c>
      <c r="B741" t="s">
        <v>39</v>
      </c>
      <c r="C741" t="s">
        <v>40</v>
      </c>
      <c r="D741" s="4">
        <v>45996</v>
      </c>
      <c r="E741">
        <v>248.1</v>
      </c>
      <c r="F741">
        <v>35</v>
      </c>
      <c r="G741">
        <v>213.1</v>
      </c>
      <c r="H741" s="4"/>
    </row>
    <row r="742" spans="1:8">
      <c r="A742" t="s">
        <v>38</v>
      </c>
      <c r="B742" t="s">
        <v>39</v>
      </c>
      <c r="C742" t="s">
        <v>40</v>
      </c>
      <c r="D742" s="4">
        <v>45996</v>
      </c>
      <c r="E742">
        <v>560.6</v>
      </c>
      <c r="F742">
        <v>40.229999999999997</v>
      </c>
      <c r="G742">
        <v>520.37</v>
      </c>
      <c r="H742" s="4"/>
    </row>
    <row r="743" spans="1:8">
      <c r="A743" t="s">
        <v>38</v>
      </c>
      <c r="B743" t="s">
        <v>39</v>
      </c>
      <c r="C743" t="s">
        <v>40</v>
      </c>
      <c r="D743" s="4">
        <v>45996</v>
      </c>
      <c r="E743">
        <v>560.6</v>
      </c>
      <c r="F743">
        <v>70.14</v>
      </c>
      <c r="G743">
        <v>490.46</v>
      </c>
      <c r="H743" s="4"/>
    </row>
    <row r="744" spans="1:8">
      <c r="A744" t="s">
        <v>38</v>
      </c>
      <c r="B744" t="s">
        <v>39</v>
      </c>
      <c r="C744" t="s">
        <v>40</v>
      </c>
      <c r="D744" s="4">
        <v>45996</v>
      </c>
      <c r="E744">
        <v>585.6</v>
      </c>
      <c r="F744">
        <v>42.02</v>
      </c>
      <c r="G744">
        <v>543.58000000000004</v>
      </c>
      <c r="H744" s="4"/>
    </row>
    <row r="745" spans="1:8">
      <c r="A745" t="s">
        <v>38</v>
      </c>
      <c r="B745" t="s">
        <v>39</v>
      </c>
      <c r="C745" t="s">
        <v>40</v>
      </c>
      <c r="D745" s="4">
        <v>45996</v>
      </c>
      <c r="E745">
        <v>498.1</v>
      </c>
      <c r="F745">
        <v>62.32</v>
      </c>
      <c r="G745">
        <v>435.78</v>
      </c>
      <c r="H745" s="4"/>
    </row>
    <row r="746" spans="1:8">
      <c r="A746" t="s">
        <v>38</v>
      </c>
      <c r="B746" t="s">
        <v>39</v>
      </c>
      <c r="C746" t="s">
        <v>40</v>
      </c>
      <c r="D746" s="4">
        <v>45996</v>
      </c>
      <c r="E746">
        <v>498.1</v>
      </c>
      <c r="F746">
        <v>35</v>
      </c>
      <c r="G746">
        <v>463.1</v>
      </c>
      <c r="H746" s="4"/>
    </row>
    <row r="747" spans="1:8">
      <c r="A747" t="s">
        <v>38</v>
      </c>
      <c r="B747" t="s">
        <v>39</v>
      </c>
      <c r="C747" t="s">
        <v>40</v>
      </c>
      <c r="D747" s="4">
        <v>45996</v>
      </c>
      <c r="E747">
        <v>499.53</v>
      </c>
      <c r="F747">
        <v>35.85</v>
      </c>
      <c r="G747">
        <v>463.68</v>
      </c>
      <c r="H747" s="4"/>
    </row>
    <row r="748" spans="1:8">
      <c r="A748" t="s">
        <v>38</v>
      </c>
      <c r="B748" t="s">
        <v>39</v>
      </c>
      <c r="C748" t="s">
        <v>40</v>
      </c>
      <c r="D748" s="4">
        <v>45996</v>
      </c>
      <c r="E748">
        <v>998.1</v>
      </c>
      <c r="F748">
        <v>135.9</v>
      </c>
      <c r="G748">
        <v>862.2</v>
      </c>
      <c r="H748" s="4"/>
    </row>
    <row r="749" spans="1:8">
      <c r="A749" t="s">
        <v>38</v>
      </c>
      <c r="B749" t="s">
        <v>39</v>
      </c>
      <c r="C749" t="s">
        <v>40</v>
      </c>
      <c r="D749" s="4">
        <v>45996</v>
      </c>
      <c r="E749">
        <v>998.1</v>
      </c>
      <c r="F749">
        <v>77.13</v>
      </c>
      <c r="G749">
        <v>920.97</v>
      </c>
      <c r="H749" s="4"/>
    </row>
    <row r="750" spans="1:8">
      <c r="A750" t="s">
        <v>38</v>
      </c>
      <c r="B750" t="s">
        <v>39</v>
      </c>
      <c r="C750" t="s">
        <v>40</v>
      </c>
      <c r="D750" s="4">
        <v>45996</v>
      </c>
      <c r="E750">
        <v>623.1</v>
      </c>
      <c r="F750">
        <v>110.06</v>
      </c>
      <c r="G750">
        <v>513.04</v>
      </c>
      <c r="H750" s="4"/>
    </row>
    <row r="751" spans="1:8">
      <c r="A751" t="s">
        <v>38</v>
      </c>
      <c r="B751" t="s">
        <v>39</v>
      </c>
      <c r="C751" t="s">
        <v>40</v>
      </c>
      <c r="D751" s="4">
        <v>45996</v>
      </c>
      <c r="E751">
        <v>998.1</v>
      </c>
      <c r="F751">
        <v>187.32</v>
      </c>
      <c r="G751">
        <v>810.78</v>
      </c>
      <c r="H751" s="4"/>
    </row>
    <row r="752" spans="1:8">
      <c r="A752" t="s">
        <v>38</v>
      </c>
      <c r="B752" t="s">
        <v>39</v>
      </c>
      <c r="C752" t="s">
        <v>40</v>
      </c>
      <c r="D752" s="4">
        <v>45996</v>
      </c>
      <c r="E752">
        <v>498.1</v>
      </c>
      <c r="F752">
        <v>83.4</v>
      </c>
      <c r="G752">
        <v>414.7</v>
      </c>
      <c r="H752" s="4"/>
    </row>
    <row r="753" spans="1:8">
      <c r="A753" t="s">
        <v>38</v>
      </c>
      <c r="B753" t="s">
        <v>39</v>
      </c>
      <c r="C753" t="s">
        <v>40</v>
      </c>
      <c r="D753" s="4">
        <v>45996</v>
      </c>
      <c r="E753">
        <v>123.1</v>
      </c>
      <c r="F753">
        <v>35</v>
      </c>
      <c r="G753">
        <v>88.1</v>
      </c>
      <c r="H753" s="4"/>
    </row>
    <row r="754" spans="1:8">
      <c r="A754" t="s">
        <v>38</v>
      </c>
      <c r="B754" t="s">
        <v>39</v>
      </c>
      <c r="C754" t="s">
        <v>40</v>
      </c>
      <c r="D754" s="4">
        <v>45996</v>
      </c>
      <c r="E754">
        <v>639.77</v>
      </c>
      <c r="F754">
        <v>47.09</v>
      </c>
      <c r="G754">
        <v>592.67999999999995</v>
      </c>
      <c r="H754" s="4"/>
    </row>
    <row r="755" spans="1:8">
      <c r="A755" t="s">
        <v>38</v>
      </c>
      <c r="B755" t="s">
        <v>39</v>
      </c>
      <c r="C755" t="s">
        <v>40</v>
      </c>
      <c r="D755" s="4">
        <v>45996</v>
      </c>
      <c r="E755">
        <v>498.1</v>
      </c>
      <c r="F755">
        <v>62.32</v>
      </c>
      <c r="G755">
        <v>435.78</v>
      </c>
      <c r="H755" s="4"/>
    </row>
    <row r="756" spans="1:8">
      <c r="A756" t="s">
        <v>38</v>
      </c>
      <c r="B756" t="s">
        <v>39</v>
      </c>
      <c r="C756" t="s">
        <v>40</v>
      </c>
      <c r="D756" s="4">
        <v>45996</v>
      </c>
      <c r="E756">
        <v>623.1</v>
      </c>
      <c r="F756">
        <v>77.959999999999994</v>
      </c>
      <c r="G756">
        <v>545.14</v>
      </c>
      <c r="H756" s="4"/>
    </row>
    <row r="757" spans="1:8">
      <c r="A757" t="s">
        <v>38</v>
      </c>
      <c r="B757" t="s">
        <v>39</v>
      </c>
      <c r="C757" t="s">
        <v>40</v>
      </c>
      <c r="D757" s="4">
        <v>45996</v>
      </c>
      <c r="E757">
        <v>498.1</v>
      </c>
      <c r="F757">
        <v>42.16</v>
      </c>
      <c r="G757">
        <v>455.94</v>
      </c>
      <c r="H757" s="4"/>
    </row>
    <row r="758" spans="1:8">
      <c r="A758" t="s">
        <v>38</v>
      </c>
      <c r="B758" t="s">
        <v>39</v>
      </c>
      <c r="C758" t="s">
        <v>40</v>
      </c>
      <c r="D758" s="4">
        <v>45996</v>
      </c>
      <c r="E758">
        <v>226.43</v>
      </c>
      <c r="F758">
        <v>35</v>
      </c>
      <c r="G758">
        <v>191.43</v>
      </c>
      <c r="H758" s="4"/>
    </row>
    <row r="759" spans="1:8">
      <c r="A759" t="s">
        <v>38</v>
      </c>
      <c r="B759" t="s">
        <v>39</v>
      </c>
      <c r="C759" t="s">
        <v>40</v>
      </c>
      <c r="D759" s="4">
        <v>45996</v>
      </c>
      <c r="E759">
        <v>598.1</v>
      </c>
      <c r="F759">
        <v>74.83</v>
      </c>
      <c r="G759">
        <v>523.27</v>
      </c>
      <c r="H759" s="4"/>
    </row>
    <row r="760" spans="1:8">
      <c r="A760" t="s">
        <v>38</v>
      </c>
      <c r="B760" t="s">
        <v>39</v>
      </c>
      <c r="C760" t="s">
        <v>40</v>
      </c>
      <c r="D760" s="4">
        <v>45996</v>
      </c>
      <c r="E760">
        <v>84.77</v>
      </c>
      <c r="F760">
        <v>35</v>
      </c>
      <c r="G760">
        <v>49.77</v>
      </c>
      <c r="H760" s="4"/>
    </row>
    <row r="761" spans="1:8">
      <c r="A761" t="s">
        <v>38</v>
      </c>
      <c r="B761" t="s">
        <v>39</v>
      </c>
      <c r="C761" t="s">
        <v>40</v>
      </c>
      <c r="D761" s="4">
        <v>45996</v>
      </c>
      <c r="E761">
        <v>298.10000000000002</v>
      </c>
      <c r="F761">
        <v>35</v>
      </c>
      <c r="G761">
        <v>263.10000000000002</v>
      </c>
      <c r="H761" s="4"/>
    </row>
    <row r="762" spans="1:8">
      <c r="A762" t="s">
        <v>38</v>
      </c>
      <c r="B762" t="s">
        <v>39</v>
      </c>
      <c r="C762" t="s">
        <v>40</v>
      </c>
      <c r="D762" s="4">
        <v>45996</v>
      </c>
      <c r="E762">
        <v>84.77</v>
      </c>
      <c r="F762">
        <v>35</v>
      </c>
      <c r="G762">
        <v>49.77</v>
      </c>
      <c r="H762" s="4"/>
    </row>
    <row r="763" spans="1:8">
      <c r="A763" t="s">
        <v>38</v>
      </c>
      <c r="B763" t="s">
        <v>39</v>
      </c>
      <c r="C763" t="s">
        <v>40</v>
      </c>
      <c r="D763" s="4">
        <v>45996</v>
      </c>
      <c r="E763">
        <v>560.6</v>
      </c>
      <c r="F763">
        <v>99.02</v>
      </c>
      <c r="G763">
        <v>461.58</v>
      </c>
      <c r="H763" s="4"/>
    </row>
    <row r="764" spans="1:8">
      <c r="A764" t="s">
        <v>38</v>
      </c>
      <c r="B764" t="s">
        <v>39</v>
      </c>
      <c r="C764" t="s">
        <v>40</v>
      </c>
      <c r="D764" s="4">
        <v>45996</v>
      </c>
      <c r="E764">
        <v>226.43</v>
      </c>
      <c r="F764">
        <v>40</v>
      </c>
      <c r="G764">
        <v>186.43</v>
      </c>
      <c r="H764" s="4"/>
    </row>
    <row r="765" spans="1:8">
      <c r="A765" t="s">
        <v>38</v>
      </c>
      <c r="B765" t="s">
        <v>39</v>
      </c>
      <c r="C765" t="s">
        <v>40</v>
      </c>
      <c r="D765" s="4">
        <v>45996</v>
      </c>
      <c r="E765">
        <v>123.1</v>
      </c>
      <c r="F765">
        <v>35</v>
      </c>
      <c r="G765">
        <v>88.1</v>
      </c>
      <c r="H765" s="4"/>
    </row>
    <row r="766" spans="1:8">
      <c r="A766" t="s">
        <v>38</v>
      </c>
      <c r="B766" t="s">
        <v>39</v>
      </c>
      <c r="C766" t="s">
        <v>40</v>
      </c>
      <c r="D766" s="4">
        <v>45996</v>
      </c>
      <c r="E766">
        <v>598.1</v>
      </c>
      <c r="F766">
        <v>105.65</v>
      </c>
      <c r="G766">
        <v>492.45</v>
      </c>
      <c r="H766" s="4"/>
    </row>
    <row r="767" spans="1:8">
      <c r="A767" t="s">
        <v>38</v>
      </c>
      <c r="B767" t="s">
        <v>39</v>
      </c>
      <c r="C767" t="s">
        <v>40</v>
      </c>
      <c r="D767" s="4">
        <v>45996</v>
      </c>
      <c r="E767">
        <v>226.43</v>
      </c>
      <c r="F767">
        <v>35</v>
      </c>
      <c r="G767">
        <v>191.43</v>
      </c>
      <c r="H767" s="4"/>
    </row>
    <row r="768" spans="1:8">
      <c r="A768" t="s">
        <v>38</v>
      </c>
      <c r="B768" t="s">
        <v>39</v>
      </c>
      <c r="C768" t="s">
        <v>40</v>
      </c>
      <c r="D768" s="4">
        <v>45996</v>
      </c>
      <c r="E768">
        <v>173.1</v>
      </c>
      <c r="F768">
        <v>35</v>
      </c>
      <c r="G768">
        <v>138.1</v>
      </c>
      <c r="H768" s="4"/>
    </row>
    <row r="769" spans="1:8">
      <c r="A769" t="s">
        <v>38</v>
      </c>
      <c r="B769" t="s">
        <v>39</v>
      </c>
      <c r="C769" t="s">
        <v>40</v>
      </c>
      <c r="D769" s="4">
        <v>45996</v>
      </c>
      <c r="E769">
        <v>623.1</v>
      </c>
      <c r="F769">
        <v>44.71</v>
      </c>
      <c r="G769">
        <v>578.39</v>
      </c>
      <c r="H769" s="4"/>
    </row>
    <row r="770" spans="1:8">
      <c r="A770" t="s">
        <v>38</v>
      </c>
      <c r="B770" t="s">
        <v>39</v>
      </c>
      <c r="C770" t="s">
        <v>40</v>
      </c>
      <c r="D770" s="4">
        <v>45996</v>
      </c>
      <c r="E770">
        <v>438.1</v>
      </c>
      <c r="F770">
        <v>35</v>
      </c>
      <c r="G770">
        <v>403.1</v>
      </c>
      <c r="H770" s="4"/>
    </row>
    <row r="771" spans="1:8">
      <c r="A771" t="s">
        <v>38</v>
      </c>
      <c r="B771" t="s">
        <v>39</v>
      </c>
      <c r="C771" t="s">
        <v>40</v>
      </c>
      <c r="D771" s="4">
        <v>45996</v>
      </c>
      <c r="E771">
        <v>206.43</v>
      </c>
      <c r="F771">
        <v>36.46</v>
      </c>
      <c r="G771">
        <v>169.97</v>
      </c>
      <c r="H771" s="4"/>
    </row>
    <row r="772" spans="1:8">
      <c r="A772" t="s">
        <v>38</v>
      </c>
      <c r="B772" t="s">
        <v>39</v>
      </c>
      <c r="C772" t="s">
        <v>40</v>
      </c>
      <c r="D772" s="4">
        <v>45996</v>
      </c>
      <c r="E772">
        <v>598.1</v>
      </c>
      <c r="F772">
        <v>42.92</v>
      </c>
      <c r="G772">
        <v>555.17999999999995</v>
      </c>
      <c r="H772" s="4"/>
    </row>
    <row r="773" spans="1:8">
      <c r="A773" t="s">
        <v>38</v>
      </c>
      <c r="B773" t="s">
        <v>39</v>
      </c>
      <c r="C773" t="s">
        <v>40</v>
      </c>
      <c r="D773" s="4">
        <v>45996</v>
      </c>
      <c r="E773">
        <v>498.1</v>
      </c>
      <c r="F773">
        <v>35.74</v>
      </c>
      <c r="G773">
        <v>462.36</v>
      </c>
      <c r="H773" s="4"/>
    </row>
    <row r="774" spans="1:8">
      <c r="A774" t="s">
        <v>38</v>
      </c>
      <c r="B774" t="s">
        <v>39</v>
      </c>
      <c r="C774" t="s">
        <v>40</v>
      </c>
      <c r="D774" s="4">
        <v>45996</v>
      </c>
      <c r="E774">
        <v>298.10000000000002</v>
      </c>
      <c r="F774">
        <v>37.85</v>
      </c>
      <c r="G774">
        <v>260.25</v>
      </c>
      <c r="H774" s="4"/>
    </row>
    <row r="775" spans="1:8">
      <c r="A775" t="s">
        <v>38</v>
      </c>
      <c r="B775" t="s">
        <v>39</v>
      </c>
      <c r="C775" t="s">
        <v>40</v>
      </c>
      <c r="D775" s="4">
        <v>45996</v>
      </c>
      <c r="E775">
        <v>498.1</v>
      </c>
      <c r="F775">
        <v>57.74</v>
      </c>
      <c r="G775">
        <v>440.36</v>
      </c>
      <c r="H775" s="4"/>
    </row>
    <row r="776" spans="1:8">
      <c r="A776" t="s">
        <v>38</v>
      </c>
      <c r="B776" t="s">
        <v>39</v>
      </c>
      <c r="C776" t="s">
        <v>40</v>
      </c>
      <c r="D776" s="4">
        <v>45996</v>
      </c>
      <c r="E776">
        <v>438.1</v>
      </c>
      <c r="F776">
        <v>54.82</v>
      </c>
      <c r="G776">
        <v>383.28</v>
      </c>
      <c r="H776" s="4"/>
    </row>
    <row r="777" spans="1:8">
      <c r="A777" t="s">
        <v>38</v>
      </c>
      <c r="B777" t="s">
        <v>39</v>
      </c>
      <c r="C777" t="s">
        <v>40</v>
      </c>
      <c r="D777" s="4">
        <v>45996</v>
      </c>
      <c r="E777">
        <v>84.77</v>
      </c>
      <c r="F777">
        <v>35</v>
      </c>
      <c r="G777">
        <v>49.77</v>
      </c>
      <c r="H777" s="4"/>
    </row>
    <row r="778" spans="1:8">
      <c r="A778" t="s">
        <v>38</v>
      </c>
      <c r="B778" t="s">
        <v>39</v>
      </c>
      <c r="C778" t="s">
        <v>40</v>
      </c>
      <c r="D778" s="4">
        <v>45996</v>
      </c>
      <c r="E778">
        <v>639.77</v>
      </c>
      <c r="F778">
        <v>83.58</v>
      </c>
      <c r="G778">
        <v>556.19000000000005</v>
      </c>
      <c r="H778" s="4"/>
    </row>
    <row r="779" spans="1:8">
      <c r="A779" t="s">
        <v>38</v>
      </c>
      <c r="B779" t="s">
        <v>39</v>
      </c>
      <c r="C779" t="s">
        <v>40</v>
      </c>
      <c r="D779" s="4">
        <v>45996</v>
      </c>
      <c r="E779">
        <v>231.44</v>
      </c>
      <c r="F779">
        <v>35</v>
      </c>
      <c r="G779">
        <v>196.44</v>
      </c>
      <c r="H779" s="4"/>
    </row>
    <row r="780" spans="1:8">
      <c r="A780" t="s">
        <v>38</v>
      </c>
      <c r="B780" t="s">
        <v>39</v>
      </c>
      <c r="C780" t="s">
        <v>40</v>
      </c>
      <c r="D780" s="4">
        <v>45996</v>
      </c>
      <c r="E780">
        <v>298.10000000000002</v>
      </c>
      <c r="F780">
        <v>53.2</v>
      </c>
      <c r="G780">
        <v>244.9</v>
      </c>
      <c r="H780" s="4"/>
    </row>
    <row r="781" spans="1:8">
      <c r="A781" t="s">
        <v>38</v>
      </c>
      <c r="B781" t="s">
        <v>39</v>
      </c>
      <c r="C781" t="s">
        <v>40</v>
      </c>
      <c r="D781" s="4">
        <v>45996</v>
      </c>
      <c r="E781">
        <v>248.1</v>
      </c>
      <c r="F781">
        <v>35</v>
      </c>
      <c r="G781">
        <v>213.1</v>
      </c>
      <c r="H781" s="4"/>
    </row>
    <row r="782" spans="1:8">
      <c r="A782" t="s">
        <v>38</v>
      </c>
      <c r="B782" t="s">
        <v>39</v>
      </c>
      <c r="C782" t="s">
        <v>40</v>
      </c>
      <c r="D782" s="4">
        <v>45996</v>
      </c>
      <c r="E782">
        <v>498.1</v>
      </c>
      <c r="F782">
        <v>87.98</v>
      </c>
      <c r="G782">
        <v>410.12</v>
      </c>
      <c r="H782" s="4"/>
    </row>
    <row r="783" spans="1:8">
      <c r="A783" t="s">
        <v>38</v>
      </c>
      <c r="B783" t="s">
        <v>39</v>
      </c>
      <c r="C783" t="s">
        <v>40</v>
      </c>
      <c r="D783" s="4">
        <v>45996</v>
      </c>
      <c r="E783">
        <v>585.6</v>
      </c>
      <c r="F783">
        <v>103.44</v>
      </c>
      <c r="G783">
        <v>482.16</v>
      </c>
      <c r="H783" s="4"/>
    </row>
    <row r="784" spans="1:8">
      <c r="A784" t="s">
        <v>38</v>
      </c>
      <c r="B784" t="s">
        <v>39</v>
      </c>
      <c r="C784" t="s">
        <v>40</v>
      </c>
      <c r="D784" s="4">
        <v>45996</v>
      </c>
      <c r="E784">
        <v>585.6</v>
      </c>
      <c r="F784">
        <v>73.27</v>
      </c>
      <c r="G784">
        <v>512.33000000000004</v>
      </c>
      <c r="H784" s="4"/>
    </row>
    <row r="785" spans="1:8">
      <c r="A785" t="s">
        <v>41</v>
      </c>
      <c r="B785" t="s">
        <v>42</v>
      </c>
      <c r="C785" t="s">
        <v>43</v>
      </c>
      <c r="D785" s="4">
        <v>46008</v>
      </c>
      <c r="E785">
        <v>231.15</v>
      </c>
      <c r="F785">
        <v>40</v>
      </c>
      <c r="G785">
        <v>191.15</v>
      </c>
      <c r="H785" s="4"/>
    </row>
    <row r="786" spans="1:8">
      <c r="A786" t="s">
        <v>41</v>
      </c>
      <c r="B786" t="s">
        <v>42</v>
      </c>
      <c r="C786" t="s">
        <v>43</v>
      </c>
      <c r="D786" s="4">
        <v>46008</v>
      </c>
      <c r="E786">
        <v>318.10000000000002</v>
      </c>
      <c r="F786">
        <v>67.91</v>
      </c>
      <c r="G786">
        <v>250.19</v>
      </c>
      <c r="H786" s="4"/>
    </row>
    <row r="787" spans="1:8">
      <c r="A787" t="s">
        <v>41</v>
      </c>
      <c r="B787" t="s">
        <v>42</v>
      </c>
      <c r="C787" t="s">
        <v>43</v>
      </c>
      <c r="D787" s="4">
        <v>46008</v>
      </c>
      <c r="E787">
        <v>298.10000000000002</v>
      </c>
      <c r="F787">
        <v>41.73</v>
      </c>
      <c r="G787">
        <v>256.37</v>
      </c>
      <c r="H787" s="4"/>
    </row>
    <row r="788" spans="1:8">
      <c r="A788" t="s">
        <v>41</v>
      </c>
      <c r="B788" t="s">
        <v>42</v>
      </c>
      <c r="C788" t="s">
        <v>43</v>
      </c>
      <c r="D788" s="4">
        <v>46008</v>
      </c>
      <c r="E788">
        <v>253.66</v>
      </c>
      <c r="F788">
        <v>54.16</v>
      </c>
      <c r="G788">
        <v>199.5</v>
      </c>
      <c r="H788" s="4"/>
    </row>
    <row r="789" spans="1:8">
      <c r="A789" t="s">
        <v>41</v>
      </c>
      <c r="B789" t="s">
        <v>42</v>
      </c>
      <c r="C789" t="s">
        <v>43</v>
      </c>
      <c r="D789" s="4">
        <v>46008</v>
      </c>
      <c r="E789">
        <v>398.1</v>
      </c>
      <c r="F789">
        <v>84.99</v>
      </c>
      <c r="G789">
        <v>313.11</v>
      </c>
      <c r="H789" s="4"/>
    </row>
    <row r="790" spans="1:8">
      <c r="A790" t="s">
        <v>41</v>
      </c>
      <c r="B790" t="s">
        <v>42</v>
      </c>
      <c r="C790" t="s">
        <v>43</v>
      </c>
      <c r="D790" s="4">
        <v>46008</v>
      </c>
      <c r="E790">
        <v>148.1</v>
      </c>
      <c r="F790">
        <v>40</v>
      </c>
      <c r="G790">
        <v>108.1</v>
      </c>
      <c r="H790" s="4"/>
    </row>
    <row r="791" spans="1:8">
      <c r="A791" t="s">
        <v>41</v>
      </c>
      <c r="B791" t="s">
        <v>42</v>
      </c>
      <c r="C791" t="s">
        <v>43</v>
      </c>
      <c r="D791" s="4">
        <v>46008</v>
      </c>
      <c r="E791">
        <v>964.77</v>
      </c>
      <c r="F791">
        <v>168.83</v>
      </c>
      <c r="G791">
        <v>795.94</v>
      </c>
      <c r="H791" s="4"/>
    </row>
    <row r="792" spans="1:8">
      <c r="A792" t="s">
        <v>41</v>
      </c>
      <c r="B792" t="s">
        <v>42</v>
      </c>
      <c r="C792" t="s">
        <v>43</v>
      </c>
      <c r="D792" s="4">
        <v>46008</v>
      </c>
      <c r="E792">
        <v>998.1</v>
      </c>
      <c r="F792">
        <v>213.09</v>
      </c>
      <c r="G792">
        <v>785.01</v>
      </c>
      <c r="H792" s="4"/>
    </row>
    <row r="793" spans="1:8">
      <c r="A793" t="s">
        <v>41</v>
      </c>
      <c r="B793" t="s">
        <v>42</v>
      </c>
      <c r="C793" t="s">
        <v>43</v>
      </c>
      <c r="D793" s="4">
        <v>46008</v>
      </c>
      <c r="E793">
        <v>198.1</v>
      </c>
      <c r="F793">
        <v>40</v>
      </c>
      <c r="G793">
        <v>158.1</v>
      </c>
      <c r="H793" s="4"/>
    </row>
    <row r="794" spans="1:8">
      <c r="A794" t="s">
        <v>41</v>
      </c>
      <c r="B794" t="s">
        <v>42</v>
      </c>
      <c r="C794" t="s">
        <v>43</v>
      </c>
      <c r="D794" s="4">
        <v>46008</v>
      </c>
      <c r="E794">
        <v>198.1</v>
      </c>
      <c r="F794">
        <v>40</v>
      </c>
      <c r="G794">
        <v>158.1</v>
      </c>
      <c r="H794" s="4"/>
    </row>
    <row r="795" spans="1:8">
      <c r="A795" t="s">
        <v>41</v>
      </c>
      <c r="B795" t="s">
        <v>42</v>
      </c>
      <c r="C795" t="s">
        <v>43</v>
      </c>
      <c r="D795" s="4">
        <v>46008</v>
      </c>
      <c r="E795">
        <v>731.43</v>
      </c>
      <c r="F795">
        <v>174.08</v>
      </c>
      <c r="G795">
        <v>557.35</v>
      </c>
      <c r="H795" s="4"/>
    </row>
    <row r="796" spans="1:8">
      <c r="A796" t="s">
        <v>41</v>
      </c>
      <c r="B796" t="s">
        <v>42</v>
      </c>
      <c r="C796" t="s">
        <v>43</v>
      </c>
      <c r="D796" s="4">
        <v>46008</v>
      </c>
      <c r="E796">
        <v>152.38999999999999</v>
      </c>
      <c r="F796">
        <v>40</v>
      </c>
      <c r="G796">
        <v>112.39</v>
      </c>
      <c r="H796" s="4"/>
    </row>
    <row r="797" spans="1:8">
      <c r="A797" t="s">
        <v>41</v>
      </c>
      <c r="B797" t="s">
        <v>42</v>
      </c>
      <c r="C797" t="s">
        <v>43</v>
      </c>
      <c r="D797" s="4">
        <v>46008</v>
      </c>
      <c r="E797">
        <v>285.60000000000002</v>
      </c>
      <c r="F797">
        <v>64.97</v>
      </c>
      <c r="G797">
        <v>220.63</v>
      </c>
      <c r="H797" s="4"/>
    </row>
    <row r="798" spans="1:8">
      <c r="A798" t="s">
        <v>41</v>
      </c>
      <c r="B798" t="s">
        <v>42</v>
      </c>
      <c r="C798" t="s">
        <v>43</v>
      </c>
      <c r="D798" s="4">
        <v>46008</v>
      </c>
      <c r="E798">
        <v>154.03</v>
      </c>
      <c r="F798">
        <v>40</v>
      </c>
      <c r="G798">
        <v>114.03</v>
      </c>
      <c r="H798" s="4"/>
    </row>
    <row r="799" spans="1:8">
      <c r="A799" t="s">
        <v>41</v>
      </c>
      <c r="B799" t="s">
        <v>42</v>
      </c>
      <c r="C799" t="s">
        <v>43</v>
      </c>
      <c r="D799" s="4">
        <v>46008</v>
      </c>
      <c r="E799">
        <v>164.77</v>
      </c>
      <c r="F799">
        <v>40</v>
      </c>
      <c r="G799">
        <v>124.77</v>
      </c>
      <c r="H799" s="4"/>
    </row>
    <row r="800" spans="1:8">
      <c r="A800" t="s">
        <v>41</v>
      </c>
      <c r="B800" t="s">
        <v>42</v>
      </c>
      <c r="C800" t="s">
        <v>43</v>
      </c>
      <c r="D800" s="4">
        <v>46008</v>
      </c>
      <c r="E800">
        <v>268.10000000000002</v>
      </c>
      <c r="F800">
        <v>50.67</v>
      </c>
      <c r="G800">
        <v>217.43</v>
      </c>
      <c r="H800" s="4"/>
    </row>
    <row r="801" spans="1:8">
      <c r="A801" t="s">
        <v>41</v>
      </c>
      <c r="B801" t="s">
        <v>42</v>
      </c>
      <c r="C801" t="s">
        <v>43</v>
      </c>
      <c r="D801" s="4">
        <v>46008</v>
      </c>
      <c r="E801">
        <v>351.1</v>
      </c>
      <c r="F801">
        <v>45.47</v>
      </c>
      <c r="G801">
        <v>305.63</v>
      </c>
      <c r="H801" s="4"/>
    </row>
    <row r="802" spans="1:8">
      <c r="A802" t="s">
        <v>41</v>
      </c>
      <c r="B802" t="s">
        <v>42</v>
      </c>
      <c r="C802" t="s">
        <v>43</v>
      </c>
      <c r="D802" s="4">
        <v>46008</v>
      </c>
      <c r="E802">
        <v>148.1</v>
      </c>
      <c r="F802">
        <v>40</v>
      </c>
      <c r="G802">
        <v>108.1</v>
      </c>
      <c r="H802" s="4"/>
    </row>
    <row r="803" spans="1:8">
      <c r="A803" t="s">
        <v>41</v>
      </c>
      <c r="B803" t="s">
        <v>42</v>
      </c>
      <c r="C803" t="s">
        <v>43</v>
      </c>
      <c r="D803" s="4">
        <v>46008</v>
      </c>
      <c r="E803">
        <v>148.1</v>
      </c>
      <c r="F803">
        <v>40</v>
      </c>
      <c r="G803">
        <v>108.1</v>
      </c>
      <c r="H803" s="4"/>
    </row>
    <row r="804" spans="1:8">
      <c r="A804" t="s">
        <v>41</v>
      </c>
      <c r="B804" t="s">
        <v>42</v>
      </c>
      <c r="C804" t="s">
        <v>43</v>
      </c>
      <c r="D804" s="4">
        <v>46008</v>
      </c>
      <c r="E804">
        <v>253.82</v>
      </c>
      <c r="F804">
        <v>48.86</v>
      </c>
      <c r="G804">
        <v>204.96</v>
      </c>
      <c r="H804" s="4"/>
    </row>
    <row r="805" spans="1:8">
      <c r="A805" t="s">
        <v>41</v>
      </c>
      <c r="B805" t="s">
        <v>42</v>
      </c>
      <c r="C805" t="s">
        <v>43</v>
      </c>
      <c r="D805" s="4">
        <v>46008</v>
      </c>
      <c r="E805">
        <v>172.01</v>
      </c>
      <c r="F805">
        <v>40</v>
      </c>
      <c r="G805">
        <v>132.01</v>
      </c>
      <c r="H805" s="4"/>
    </row>
    <row r="806" spans="1:8">
      <c r="A806" t="s">
        <v>41</v>
      </c>
      <c r="B806" t="s">
        <v>42</v>
      </c>
      <c r="C806" t="s">
        <v>43</v>
      </c>
      <c r="D806" s="4">
        <v>46008</v>
      </c>
      <c r="E806">
        <v>248.1</v>
      </c>
      <c r="F806">
        <v>53.84</v>
      </c>
      <c r="G806">
        <v>194.26</v>
      </c>
      <c r="H806" s="4"/>
    </row>
    <row r="807" spans="1:8">
      <c r="A807" t="s">
        <v>41</v>
      </c>
      <c r="B807" t="s">
        <v>42</v>
      </c>
      <c r="C807" t="s">
        <v>43</v>
      </c>
      <c r="D807" s="4">
        <v>46008</v>
      </c>
      <c r="E807">
        <v>285.60000000000002</v>
      </c>
      <c r="F807">
        <v>40</v>
      </c>
      <c r="G807">
        <v>245.6</v>
      </c>
      <c r="H807" s="4"/>
    </row>
    <row r="808" spans="1:8">
      <c r="A808" t="s">
        <v>41</v>
      </c>
      <c r="B808" t="s">
        <v>42</v>
      </c>
      <c r="C808" t="s">
        <v>43</v>
      </c>
      <c r="D808" s="4">
        <v>46008</v>
      </c>
      <c r="E808">
        <v>169.53</v>
      </c>
      <c r="F808">
        <v>40</v>
      </c>
      <c r="G808">
        <v>129.53</v>
      </c>
      <c r="H808" s="4"/>
    </row>
    <row r="809" spans="1:8">
      <c r="A809" t="s">
        <v>41</v>
      </c>
      <c r="B809" t="s">
        <v>42</v>
      </c>
      <c r="C809" t="s">
        <v>43</v>
      </c>
      <c r="D809" s="4">
        <v>46008</v>
      </c>
      <c r="E809">
        <v>318.10000000000002</v>
      </c>
      <c r="F809">
        <v>40</v>
      </c>
      <c r="G809">
        <v>278.10000000000002</v>
      </c>
      <c r="H809" s="4"/>
    </row>
    <row r="810" spans="1:8">
      <c r="A810" t="s">
        <v>41</v>
      </c>
      <c r="B810" t="s">
        <v>42</v>
      </c>
      <c r="C810" t="s">
        <v>43</v>
      </c>
      <c r="D810" s="4">
        <v>46008</v>
      </c>
      <c r="E810">
        <v>198.1</v>
      </c>
      <c r="F810">
        <v>42.29</v>
      </c>
      <c r="G810">
        <v>155.81</v>
      </c>
      <c r="H810" s="4"/>
    </row>
    <row r="811" spans="1:8">
      <c r="A811" t="s">
        <v>41</v>
      </c>
      <c r="B811" t="s">
        <v>42</v>
      </c>
      <c r="C811" t="s">
        <v>43</v>
      </c>
      <c r="D811" s="4">
        <v>46008</v>
      </c>
      <c r="E811">
        <v>260.60000000000002</v>
      </c>
      <c r="F811">
        <v>40</v>
      </c>
      <c r="G811">
        <v>220.6</v>
      </c>
      <c r="H811" s="4"/>
    </row>
    <row r="812" spans="1:8">
      <c r="A812" t="s">
        <v>41</v>
      </c>
      <c r="B812" t="s">
        <v>42</v>
      </c>
      <c r="C812" t="s">
        <v>43</v>
      </c>
      <c r="D812" s="4">
        <v>46008</v>
      </c>
      <c r="E812">
        <v>164.77</v>
      </c>
      <c r="F812">
        <v>40</v>
      </c>
      <c r="G812">
        <v>124.77</v>
      </c>
      <c r="H812" s="4"/>
    </row>
    <row r="813" spans="1:8">
      <c r="A813" t="s">
        <v>41</v>
      </c>
      <c r="B813" t="s">
        <v>42</v>
      </c>
      <c r="C813" t="s">
        <v>43</v>
      </c>
      <c r="D813" s="4">
        <v>46008</v>
      </c>
      <c r="E813">
        <v>298.10000000000002</v>
      </c>
      <c r="F813">
        <v>40</v>
      </c>
      <c r="G813">
        <v>258.10000000000002</v>
      </c>
      <c r="H813" s="4"/>
    </row>
    <row r="814" spans="1:8">
      <c r="A814" t="s">
        <v>41</v>
      </c>
      <c r="B814" t="s">
        <v>42</v>
      </c>
      <c r="C814" t="s">
        <v>43</v>
      </c>
      <c r="D814" s="4">
        <v>46008</v>
      </c>
      <c r="E814">
        <v>248.1</v>
      </c>
      <c r="F814">
        <v>40</v>
      </c>
      <c r="G814">
        <v>208.1</v>
      </c>
      <c r="H814" s="4"/>
    </row>
    <row r="815" spans="1:8">
      <c r="A815" t="s">
        <v>41</v>
      </c>
      <c r="B815" t="s">
        <v>42</v>
      </c>
      <c r="C815" t="s">
        <v>43</v>
      </c>
      <c r="D815" s="4">
        <v>46008</v>
      </c>
      <c r="E815">
        <v>233.1</v>
      </c>
      <c r="F815">
        <v>40</v>
      </c>
      <c r="G815">
        <v>193.1</v>
      </c>
      <c r="H815" s="4"/>
    </row>
    <row r="816" spans="1:8">
      <c r="A816" t="s">
        <v>41</v>
      </c>
      <c r="B816" t="s">
        <v>42</v>
      </c>
      <c r="C816" t="s">
        <v>43</v>
      </c>
      <c r="D816" s="4">
        <v>46008</v>
      </c>
      <c r="E816">
        <v>183.1</v>
      </c>
      <c r="F816">
        <v>40</v>
      </c>
      <c r="G816">
        <v>143.1</v>
      </c>
      <c r="H816" s="4"/>
    </row>
    <row r="817" spans="1:8">
      <c r="A817" t="s">
        <v>41</v>
      </c>
      <c r="B817" t="s">
        <v>42</v>
      </c>
      <c r="C817" t="s">
        <v>43</v>
      </c>
      <c r="D817" s="4">
        <v>46008</v>
      </c>
      <c r="E817">
        <v>154.03</v>
      </c>
      <c r="F817">
        <v>40</v>
      </c>
      <c r="G817">
        <v>114.03</v>
      </c>
      <c r="H817" s="4"/>
    </row>
    <row r="818" spans="1:8">
      <c r="A818" t="s">
        <v>41</v>
      </c>
      <c r="B818" t="s">
        <v>42</v>
      </c>
      <c r="C818" t="s">
        <v>43</v>
      </c>
      <c r="D818" s="4">
        <v>46008</v>
      </c>
      <c r="E818">
        <v>248.1</v>
      </c>
      <c r="F818">
        <v>49.5</v>
      </c>
      <c r="G818">
        <v>198.6</v>
      </c>
      <c r="H818" s="4"/>
    </row>
    <row r="819" spans="1:8">
      <c r="A819" t="s">
        <v>41</v>
      </c>
      <c r="B819" t="s">
        <v>42</v>
      </c>
      <c r="C819" t="s">
        <v>43</v>
      </c>
      <c r="D819" s="4">
        <v>46008</v>
      </c>
      <c r="E819">
        <v>307.62</v>
      </c>
      <c r="F819">
        <v>59.22</v>
      </c>
      <c r="G819">
        <v>248.4</v>
      </c>
      <c r="H819" s="4"/>
    </row>
    <row r="820" spans="1:8">
      <c r="A820" t="s">
        <v>41</v>
      </c>
      <c r="B820" t="s">
        <v>42</v>
      </c>
      <c r="C820" t="s">
        <v>43</v>
      </c>
      <c r="D820" s="4">
        <v>46008</v>
      </c>
      <c r="E820">
        <v>148.1</v>
      </c>
      <c r="F820">
        <v>40</v>
      </c>
      <c r="G820">
        <v>108.1</v>
      </c>
      <c r="H820" s="4"/>
    </row>
    <row r="821" spans="1:8">
      <c r="A821" t="s">
        <v>41</v>
      </c>
      <c r="B821" t="s">
        <v>42</v>
      </c>
      <c r="C821" t="s">
        <v>43</v>
      </c>
      <c r="D821" s="4">
        <v>46008</v>
      </c>
      <c r="E821">
        <v>731.43</v>
      </c>
      <c r="F821">
        <v>92.16</v>
      </c>
      <c r="G821">
        <v>639.27</v>
      </c>
      <c r="H821" s="4"/>
    </row>
    <row r="822" spans="1:8">
      <c r="A822" t="s">
        <v>41</v>
      </c>
      <c r="B822" t="s">
        <v>42</v>
      </c>
      <c r="C822" t="s">
        <v>43</v>
      </c>
      <c r="D822" s="4">
        <v>46008</v>
      </c>
      <c r="E822">
        <v>248.1</v>
      </c>
      <c r="F822">
        <v>52.97</v>
      </c>
      <c r="G822">
        <v>195.13</v>
      </c>
      <c r="H822" s="4"/>
    </row>
    <row r="823" spans="1:8">
      <c r="A823" t="s">
        <v>41</v>
      </c>
      <c r="B823" t="s">
        <v>42</v>
      </c>
      <c r="C823" t="s">
        <v>43</v>
      </c>
      <c r="D823" s="4">
        <v>46008</v>
      </c>
      <c r="E823">
        <v>173.1</v>
      </c>
      <c r="F823">
        <v>40</v>
      </c>
      <c r="G823">
        <v>133.1</v>
      </c>
      <c r="H823" s="4"/>
    </row>
    <row r="824" spans="1:8">
      <c r="A824" t="s">
        <v>41</v>
      </c>
      <c r="B824" t="s">
        <v>42</v>
      </c>
      <c r="C824" t="s">
        <v>43</v>
      </c>
      <c r="D824" s="4">
        <v>46008</v>
      </c>
      <c r="E824">
        <v>251.26</v>
      </c>
      <c r="F824">
        <v>53.64</v>
      </c>
      <c r="G824">
        <v>197.62</v>
      </c>
      <c r="H824" s="4"/>
    </row>
    <row r="825" spans="1:8">
      <c r="A825" t="s">
        <v>41</v>
      </c>
      <c r="B825" t="s">
        <v>42</v>
      </c>
      <c r="C825" t="s">
        <v>43</v>
      </c>
      <c r="D825" s="4">
        <v>46008</v>
      </c>
      <c r="E825">
        <v>229.29</v>
      </c>
      <c r="F825">
        <v>44.14</v>
      </c>
      <c r="G825">
        <v>185.15</v>
      </c>
      <c r="H825" s="4"/>
    </row>
    <row r="826" spans="1:8">
      <c r="A826" t="s">
        <v>41</v>
      </c>
      <c r="B826" t="s">
        <v>42</v>
      </c>
      <c r="C826" t="s">
        <v>43</v>
      </c>
      <c r="D826" s="4">
        <v>46008</v>
      </c>
      <c r="E826">
        <v>131.1</v>
      </c>
      <c r="F826">
        <v>40</v>
      </c>
      <c r="G826">
        <v>91.1</v>
      </c>
      <c r="H826" s="4"/>
    </row>
    <row r="827" spans="1:8">
      <c r="A827" t="s">
        <v>41</v>
      </c>
      <c r="B827" t="s">
        <v>42</v>
      </c>
      <c r="C827" t="s">
        <v>43</v>
      </c>
      <c r="D827" s="4">
        <v>46008</v>
      </c>
      <c r="E827">
        <v>118.1</v>
      </c>
      <c r="F827">
        <v>40</v>
      </c>
      <c r="G827">
        <v>78.099999999999994</v>
      </c>
      <c r="H827" s="4"/>
    </row>
    <row r="828" spans="1:8">
      <c r="A828" t="s">
        <v>41</v>
      </c>
      <c r="B828" t="s">
        <v>42</v>
      </c>
      <c r="C828" t="s">
        <v>43</v>
      </c>
      <c r="D828" s="4">
        <v>46008</v>
      </c>
      <c r="E828">
        <v>158.1</v>
      </c>
      <c r="F828">
        <v>40</v>
      </c>
      <c r="G828">
        <v>118.1</v>
      </c>
      <c r="H828" s="4"/>
    </row>
    <row r="829" spans="1:8">
      <c r="A829" t="s">
        <v>41</v>
      </c>
      <c r="B829" t="s">
        <v>42</v>
      </c>
      <c r="C829" t="s">
        <v>43</v>
      </c>
      <c r="D829" s="4">
        <v>46008</v>
      </c>
      <c r="E829">
        <v>148.1</v>
      </c>
      <c r="F829">
        <v>40</v>
      </c>
      <c r="G829">
        <v>108.1</v>
      </c>
      <c r="H829" s="4"/>
    </row>
    <row r="830" spans="1:8">
      <c r="A830" t="s">
        <v>41</v>
      </c>
      <c r="B830" t="s">
        <v>42</v>
      </c>
      <c r="C830" t="s">
        <v>43</v>
      </c>
      <c r="D830" s="4">
        <v>46008</v>
      </c>
      <c r="E830">
        <v>198.1</v>
      </c>
      <c r="F830">
        <v>42.29</v>
      </c>
      <c r="G830">
        <v>155.81</v>
      </c>
      <c r="H830" s="4"/>
    </row>
    <row r="831" spans="1:8">
      <c r="A831" t="s">
        <v>41</v>
      </c>
      <c r="B831" t="s">
        <v>42</v>
      </c>
      <c r="C831" t="s">
        <v>43</v>
      </c>
      <c r="D831" s="4">
        <v>46008</v>
      </c>
      <c r="E831">
        <v>158.1</v>
      </c>
      <c r="F831">
        <v>40</v>
      </c>
      <c r="G831">
        <v>118.1</v>
      </c>
      <c r="H831" s="4"/>
    </row>
    <row r="832" spans="1:8">
      <c r="A832" t="s">
        <v>41</v>
      </c>
      <c r="B832" t="s">
        <v>42</v>
      </c>
      <c r="C832" t="s">
        <v>43</v>
      </c>
      <c r="D832" s="4">
        <v>46008</v>
      </c>
      <c r="E832">
        <v>148.1</v>
      </c>
      <c r="F832">
        <v>40</v>
      </c>
      <c r="G832">
        <v>108.1</v>
      </c>
      <c r="H832" s="4"/>
    </row>
    <row r="833" spans="1:8">
      <c r="A833" t="s">
        <v>41</v>
      </c>
      <c r="B833" t="s">
        <v>42</v>
      </c>
      <c r="C833" t="s">
        <v>43</v>
      </c>
      <c r="D833" s="4">
        <v>46008</v>
      </c>
      <c r="E833">
        <v>498.1</v>
      </c>
      <c r="F833">
        <v>106.34</v>
      </c>
      <c r="G833">
        <v>391.76</v>
      </c>
      <c r="H833" s="4"/>
    </row>
    <row r="834" spans="1:8">
      <c r="A834" t="s">
        <v>41</v>
      </c>
      <c r="B834" t="s">
        <v>42</v>
      </c>
      <c r="C834" t="s">
        <v>43</v>
      </c>
      <c r="D834" s="4">
        <v>46008</v>
      </c>
      <c r="E834">
        <v>163.1</v>
      </c>
      <c r="F834">
        <v>40</v>
      </c>
      <c r="G834">
        <v>123.1</v>
      </c>
      <c r="H834" s="4"/>
    </row>
    <row r="835" spans="1:8">
      <c r="A835" t="s">
        <v>41</v>
      </c>
      <c r="B835" t="s">
        <v>42</v>
      </c>
      <c r="C835" t="s">
        <v>43</v>
      </c>
      <c r="D835" s="4">
        <v>46008</v>
      </c>
      <c r="E835">
        <v>392.1</v>
      </c>
      <c r="F835">
        <v>83.71</v>
      </c>
      <c r="G835">
        <v>308.39</v>
      </c>
      <c r="H835" s="4"/>
    </row>
    <row r="836" spans="1:8">
      <c r="A836" t="s">
        <v>41</v>
      </c>
      <c r="B836" t="s">
        <v>42</v>
      </c>
      <c r="C836" t="s">
        <v>43</v>
      </c>
      <c r="D836" s="4">
        <v>46008</v>
      </c>
      <c r="E836">
        <v>589.01</v>
      </c>
      <c r="F836">
        <v>103.08</v>
      </c>
      <c r="G836">
        <v>485.93</v>
      </c>
      <c r="H836" s="4"/>
    </row>
    <row r="837" spans="1:8">
      <c r="A837" t="s">
        <v>41</v>
      </c>
      <c r="B837" t="s">
        <v>42</v>
      </c>
      <c r="C837" t="s">
        <v>43</v>
      </c>
      <c r="D837" s="4">
        <v>46008</v>
      </c>
      <c r="E837">
        <v>248.1</v>
      </c>
      <c r="F837">
        <v>47.76</v>
      </c>
      <c r="G837">
        <v>200.34</v>
      </c>
      <c r="H837" s="4"/>
    </row>
    <row r="838" spans="1:8">
      <c r="A838" t="s">
        <v>41</v>
      </c>
      <c r="B838" t="s">
        <v>42</v>
      </c>
      <c r="C838" t="s">
        <v>43</v>
      </c>
      <c r="D838" s="4">
        <v>46008</v>
      </c>
      <c r="E838">
        <v>241.34</v>
      </c>
      <c r="F838">
        <v>48.15</v>
      </c>
      <c r="G838">
        <v>193.19</v>
      </c>
      <c r="H838" s="4"/>
    </row>
    <row r="839" spans="1:8">
      <c r="A839" t="s">
        <v>41</v>
      </c>
      <c r="B839" t="s">
        <v>42</v>
      </c>
      <c r="C839" t="s">
        <v>43</v>
      </c>
      <c r="D839" s="4">
        <v>46008</v>
      </c>
      <c r="E839">
        <v>498.1</v>
      </c>
      <c r="F839">
        <v>106.34</v>
      </c>
      <c r="G839">
        <v>391.76</v>
      </c>
      <c r="H839" s="4"/>
    </row>
    <row r="840" spans="1:8">
      <c r="A840" t="s">
        <v>41</v>
      </c>
      <c r="B840" t="s">
        <v>42</v>
      </c>
      <c r="C840" t="s">
        <v>43</v>
      </c>
      <c r="D840" s="4">
        <v>46008</v>
      </c>
      <c r="E840">
        <v>248.1</v>
      </c>
      <c r="F840">
        <v>47.76</v>
      </c>
      <c r="G840">
        <v>200.34</v>
      </c>
      <c r="H840" s="4"/>
    </row>
    <row r="841" spans="1:8">
      <c r="A841" t="s">
        <v>44</v>
      </c>
      <c r="B841" t="s">
        <v>45</v>
      </c>
      <c r="C841" t="s">
        <v>46</v>
      </c>
      <c r="D841" s="4">
        <v>46003</v>
      </c>
      <c r="E841">
        <v>168.1</v>
      </c>
      <c r="F841">
        <v>35</v>
      </c>
      <c r="G841">
        <v>133.1</v>
      </c>
      <c r="H841" s="4"/>
    </row>
    <row r="842" spans="1:8">
      <c r="A842" t="s">
        <v>44</v>
      </c>
      <c r="B842" t="s">
        <v>45</v>
      </c>
      <c r="C842" t="s">
        <v>46</v>
      </c>
      <c r="D842" s="4">
        <v>46003</v>
      </c>
      <c r="E842">
        <v>192.1</v>
      </c>
      <c r="F842">
        <v>37.11</v>
      </c>
      <c r="G842">
        <v>154.99</v>
      </c>
      <c r="H842" s="4"/>
    </row>
    <row r="843" spans="1:8">
      <c r="A843" t="s">
        <v>44</v>
      </c>
      <c r="B843" t="s">
        <v>45</v>
      </c>
      <c r="C843" t="s">
        <v>46</v>
      </c>
      <c r="D843" s="4">
        <v>46003</v>
      </c>
      <c r="E843">
        <v>163.1</v>
      </c>
      <c r="F843">
        <v>35</v>
      </c>
      <c r="G843">
        <v>128.1</v>
      </c>
      <c r="H843" s="4"/>
    </row>
    <row r="844" spans="1:8">
      <c r="A844" t="s">
        <v>44</v>
      </c>
      <c r="B844" t="s">
        <v>45</v>
      </c>
      <c r="C844" t="s">
        <v>46</v>
      </c>
      <c r="D844" s="4">
        <v>46003</v>
      </c>
      <c r="E844">
        <v>268.10000000000002</v>
      </c>
      <c r="F844">
        <v>35</v>
      </c>
      <c r="G844">
        <v>233.1</v>
      </c>
      <c r="H844" s="4"/>
    </row>
    <row r="845" spans="1:8">
      <c r="A845" t="s">
        <v>44</v>
      </c>
      <c r="B845" t="s">
        <v>45</v>
      </c>
      <c r="C845" t="s">
        <v>46</v>
      </c>
      <c r="D845" s="4">
        <v>46003</v>
      </c>
      <c r="E845">
        <v>158.1</v>
      </c>
      <c r="F845">
        <v>35</v>
      </c>
      <c r="G845">
        <v>123.1</v>
      </c>
      <c r="H845" s="4"/>
    </row>
    <row r="846" spans="1:8">
      <c r="A846" t="s">
        <v>44</v>
      </c>
      <c r="B846" t="s">
        <v>45</v>
      </c>
      <c r="C846" t="s">
        <v>46</v>
      </c>
      <c r="D846" s="4">
        <v>46003</v>
      </c>
      <c r="E846">
        <v>268.10000000000002</v>
      </c>
      <c r="F846">
        <v>35</v>
      </c>
      <c r="G846">
        <v>233.1</v>
      </c>
      <c r="H846" s="4"/>
    </row>
    <row r="847" spans="1:8">
      <c r="A847" t="s">
        <v>44</v>
      </c>
      <c r="B847" t="s">
        <v>45</v>
      </c>
      <c r="C847" t="s">
        <v>46</v>
      </c>
      <c r="D847" s="4">
        <v>46003</v>
      </c>
      <c r="E847">
        <v>168.1</v>
      </c>
      <c r="F847">
        <v>35</v>
      </c>
      <c r="G847">
        <v>133.1</v>
      </c>
      <c r="H847" s="4"/>
    </row>
    <row r="848" spans="1:8">
      <c r="A848" t="s">
        <v>44</v>
      </c>
      <c r="B848" t="s">
        <v>45</v>
      </c>
      <c r="C848" t="s">
        <v>46</v>
      </c>
      <c r="D848" s="4">
        <v>46003</v>
      </c>
      <c r="E848">
        <v>248.1</v>
      </c>
      <c r="F848">
        <v>50.22</v>
      </c>
      <c r="G848">
        <v>197.88</v>
      </c>
      <c r="H848" s="4"/>
    </row>
    <row r="849" spans="1:8">
      <c r="A849" t="s">
        <v>44</v>
      </c>
      <c r="B849" t="s">
        <v>45</v>
      </c>
      <c r="C849" t="s">
        <v>46</v>
      </c>
      <c r="D849" s="4">
        <v>46003</v>
      </c>
      <c r="E849">
        <v>268.10000000000002</v>
      </c>
      <c r="F849">
        <v>54.76</v>
      </c>
      <c r="G849">
        <v>213.34</v>
      </c>
      <c r="H849" s="4"/>
    </row>
    <row r="850" spans="1:8">
      <c r="A850" t="s">
        <v>44</v>
      </c>
      <c r="B850" t="s">
        <v>45</v>
      </c>
      <c r="C850" t="s">
        <v>46</v>
      </c>
      <c r="D850" s="4">
        <v>46003</v>
      </c>
      <c r="E850">
        <v>351.04</v>
      </c>
      <c r="F850">
        <v>195.71</v>
      </c>
      <c r="G850">
        <v>155.33000000000001</v>
      </c>
      <c r="H850" s="4"/>
    </row>
    <row r="851" spans="1:8">
      <c r="A851" t="s">
        <v>44</v>
      </c>
      <c r="B851" t="s">
        <v>45</v>
      </c>
      <c r="C851" t="s">
        <v>46</v>
      </c>
      <c r="D851" s="4">
        <v>46003</v>
      </c>
      <c r="E851">
        <v>382.76</v>
      </c>
      <c r="F851">
        <v>44.37</v>
      </c>
      <c r="G851">
        <v>338.39</v>
      </c>
      <c r="H851" s="4"/>
    </row>
    <row r="852" spans="1:8">
      <c r="A852" t="s">
        <v>44</v>
      </c>
      <c r="B852" t="s">
        <v>45</v>
      </c>
      <c r="C852" t="s">
        <v>46</v>
      </c>
      <c r="D852" s="4">
        <v>46003</v>
      </c>
      <c r="E852">
        <v>158.1</v>
      </c>
      <c r="F852">
        <v>35</v>
      </c>
      <c r="G852">
        <v>123.1</v>
      </c>
      <c r="H852" s="4"/>
    </row>
    <row r="853" spans="1:8">
      <c r="A853" t="s">
        <v>44</v>
      </c>
      <c r="B853" t="s">
        <v>45</v>
      </c>
      <c r="C853" t="s">
        <v>46</v>
      </c>
      <c r="D853" s="4">
        <v>46003</v>
      </c>
      <c r="E853">
        <v>158.1</v>
      </c>
      <c r="F853">
        <v>35</v>
      </c>
      <c r="G853">
        <v>123.1</v>
      </c>
      <c r="H853" s="4"/>
    </row>
    <row r="854" spans="1:8">
      <c r="A854" t="s">
        <v>44</v>
      </c>
      <c r="B854" t="s">
        <v>45</v>
      </c>
      <c r="C854" t="s">
        <v>46</v>
      </c>
      <c r="D854" s="4">
        <v>46003</v>
      </c>
      <c r="E854">
        <v>351.04</v>
      </c>
      <c r="F854">
        <v>39.4</v>
      </c>
      <c r="G854">
        <v>311.64</v>
      </c>
      <c r="H854" s="4"/>
    </row>
    <row r="855" spans="1:8">
      <c r="A855" t="s">
        <v>44</v>
      </c>
      <c r="B855" t="s">
        <v>45</v>
      </c>
      <c r="C855" t="s">
        <v>46</v>
      </c>
      <c r="D855" s="4">
        <v>46003</v>
      </c>
      <c r="E855">
        <v>168.1</v>
      </c>
      <c r="F855">
        <v>35.26</v>
      </c>
      <c r="G855">
        <v>132.84</v>
      </c>
      <c r="H855" s="4"/>
    </row>
    <row r="856" spans="1:8">
      <c r="A856" t="s">
        <v>44</v>
      </c>
      <c r="B856" t="s">
        <v>45</v>
      </c>
      <c r="C856" t="s">
        <v>46</v>
      </c>
      <c r="D856" s="4">
        <v>46003</v>
      </c>
      <c r="E856">
        <v>216.1</v>
      </c>
      <c r="F856">
        <v>48.11</v>
      </c>
      <c r="G856">
        <v>167.99</v>
      </c>
      <c r="H856" s="4"/>
    </row>
    <row r="857" spans="1:8">
      <c r="A857" t="s">
        <v>44</v>
      </c>
      <c r="B857" t="s">
        <v>45</v>
      </c>
      <c r="C857" t="s">
        <v>46</v>
      </c>
      <c r="D857" s="4">
        <v>46003</v>
      </c>
      <c r="E857">
        <v>351.04</v>
      </c>
      <c r="F857">
        <v>57.49</v>
      </c>
      <c r="G857">
        <v>293.55</v>
      </c>
      <c r="H857" s="4"/>
    </row>
    <row r="858" spans="1:8">
      <c r="A858" t="s">
        <v>44</v>
      </c>
      <c r="B858" t="s">
        <v>45</v>
      </c>
      <c r="C858" t="s">
        <v>46</v>
      </c>
      <c r="D858" s="4">
        <v>46003</v>
      </c>
      <c r="E858">
        <v>168.1</v>
      </c>
      <c r="F858">
        <v>86.91</v>
      </c>
      <c r="G858">
        <v>81.19</v>
      </c>
      <c r="H858" s="4"/>
    </row>
    <row r="859" spans="1:8">
      <c r="A859" t="s">
        <v>44</v>
      </c>
      <c r="B859" t="s">
        <v>45</v>
      </c>
      <c r="C859" t="s">
        <v>46</v>
      </c>
      <c r="D859" s="4">
        <v>46003</v>
      </c>
      <c r="E859">
        <v>351.04</v>
      </c>
      <c r="F859">
        <v>35</v>
      </c>
      <c r="G859">
        <v>316.04000000000002</v>
      </c>
      <c r="H859" s="4"/>
    </row>
    <row r="860" spans="1:8">
      <c r="A860" t="s">
        <v>44</v>
      </c>
      <c r="B860" t="s">
        <v>45</v>
      </c>
      <c r="C860" t="s">
        <v>46</v>
      </c>
      <c r="D860" s="4">
        <v>46003</v>
      </c>
      <c r="E860">
        <v>268.10000000000002</v>
      </c>
      <c r="F860">
        <v>37</v>
      </c>
      <c r="G860">
        <v>231.1</v>
      </c>
      <c r="H860" s="4"/>
    </row>
    <row r="861" spans="1:8">
      <c r="A861" t="s">
        <v>44</v>
      </c>
      <c r="B861" t="s">
        <v>45</v>
      </c>
      <c r="C861" t="s">
        <v>46</v>
      </c>
      <c r="D861" s="4">
        <v>46003</v>
      </c>
      <c r="E861">
        <v>154.1</v>
      </c>
      <c r="F861">
        <v>35</v>
      </c>
      <c r="G861">
        <v>119.1</v>
      </c>
      <c r="H861" s="4"/>
    </row>
    <row r="862" spans="1:8">
      <c r="A862" t="s">
        <v>44</v>
      </c>
      <c r="B862" t="s">
        <v>45</v>
      </c>
      <c r="C862" t="s">
        <v>46</v>
      </c>
      <c r="D862" s="4">
        <v>46003</v>
      </c>
      <c r="E862">
        <v>268.10000000000002</v>
      </c>
      <c r="F862">
        <v>155.38999999999999</v>
      </c>
      <c r="G862">
        <v>112.71</v>
      </c>
      <c r="H862" s="4"/>
    </row>
    <row r="863" spans="1:8">
      <c r="A863" t="s">
        <v>44</v>
      </c>
      <c r="B863" t="s">
        <v>45</v>
      </c>
      <c r="C863" t="s">
        <v>46</v>
      </c>
      <c r="D863" s="4">
        <v>46003</v>
      </c>
      <c r="E863">
        <v>118.1</v>
      </c>
      <c r="F863">
        <v>63.45</v>
      </c>
      <c r="G863">
        <v>54.65</v>
      </c>
      <c r="H863" s="4"/>
    </row>
    <row r="864" spans="1:8">
      <c r="A864" t="s">
        <v>44</v>
      </c>
      <c r="B864" t="s">
        <v>45</v>
      </c>
      <c r="C864" t="s">
        <v>46</v>
      </c>
      <c r="D864" s="4">
        <v>46003</v>
      </c>
      <c r="E864">
        <v>216.1</v>
      </c>
      <c r="F864">
        <v>35</v>
      </c>
      <c r="G864">
        <v>181.1</v>
      </c>
      <c r="H864" s="4"/>
    </row>
    <row r="865" spans="1:8">
      <c r="A865" t="s">
        <v>44</v>
      </c>
      <c r="B865" t="s">
        <v>45</v>
      </c>
      <c r="C865" t="s">
        <v>46</v>
      </c>
      <c r="D865" s="4">
        <v>46003</v>
      </c>
      <c r="E865">
        <v>168.1</v>
      </c>
      <c r="F865">
        <v>39.590000000000003</v>
      </c>
      <c r="G865">
        <v>128.51</v>
      </c>
      <c r="H865" s="4"/>
    </row>
    <row r="866" spans="1:8">
      <c r="A866" t="s">
        <v>44</v>
      </c>
      <c r="B866" t="s">
        <v>45</v>
      </c>
      <c r="C866" t="s">
        <v>46</v>
      </c>
      <c r="D866" s="4">
        <v>46003</v>
      </c>
      <c r="E866">
        <v>248.1</v>
      </c>
      <c r="F866">
        <v>119.15</v>
      </c>
      <c r="G866">
        <v>128.94999999999999</v>
      </c>
      <c r="H866" s="4"/>
    </row>
    <row r="867" spans="1:8">
      <c r="A867" t="s">
        <v>44</v>
      </c>
      <c r="B867" t="s">
        <v>45</v>
      </c>
      <c r="C867" t="s">
        <v>46</v>
      </c>
      <c r="D867" s="4">
        <v>46003</v>
      </c>
      <c r="E867">
        <v>168.1</v>
      </c>
      <c r="F867">
        <v>35</v>
      </c>
      <c r="G867">
        <v>133.1</v>
      </c>
      <c r="H867" s="4"/>
    </row>
    <row r="868" spans="1:8">
      <c r="A868" t="s">
        <v>44</v>
      </c>
      <c r="B868" t="s">
        <v>45</v>
      </c>
      <c r="C868" t="s">
        <v>46</v>
      </c>
      <c r="D868" s="4">
        <v>46003</v>
      </c>
      <c r="E868">
        <v>248.1</v>
      </c>
      <c r="F868">
        <v>133.30000000000001</v>
      </c>
      <c r="G868">
        <v>114.8</v>
      </c>
      <c r="H868" s="4"/>
    </row>
    <row r="869" spans="1:8">
      <c r="A869" t="s">
        <v>44</v>
      </c>
      <c r="B869" t="s">
        <v>45</v>
      </c>
      <c r="C869" t="s">
        <v>46</v>
      </c>
      <c r="D869" s="4">
        <v>46003</v>
      </c>
      <c r="E869">
        <v>216.1</v>
      </c>
      <c r="F869">
        <v>35</v>
      </c>
      <c r="G869">
        <v>181.1</v>
      </c>
      <c r="H869" s="4"/>
    </row>
    <row r="870" spans="1:8">
      <c r="A870" t="s">
        <v>44</v>
      </c>
      <c r="B870" t="s">
        <v>45</v>
      </c>
      <c r="C870" t="s">
        <v>46</v>
      </c>
      <c r="D870" s="4">
        <v>46003</v>
      </c>
      <c r="E870">
        <v>302.10000000000002</v>
      </c>
      <c r="F870">
        <v>35</v>
      </c>
      <c r="G870">
        <v>267.10000000000002</v>
      </c>
      <c r="H870" s="4"/>
    </row>
    <row r="871" spans="1:8">
      <c r="A871" t="s">
        <v>44</v>
      </c>
      <c r="B871" t="s">
        <v>45</v>
      </c>
      <c r="C871" t="s">
        <v>46</v>
      </c>
      <c r="D871" s="4">
        <v>46003</v>
      </c>
      <c r="E871">
        <v>258.10000000000002</v>
      </c>
      <c r="F871">
        <v>35</v>
      </c>
      <c r="G871">
        <v>223.1</v>
      </c>
      <c r="H871" s="4"/>
    </row>
    <row r="872" spans="1:8">
      <c r="A872" t="s">
        <v>44</v>
      </c>
      <c r="B872" t="s">
        <v>45</v>
      </c>
      <c r="C872" t="s">
        <v>46</v>
      </c>
      <c r="D872" s="4">
        <v>46003</v>
      </c>
      <c r="E872">
        <v>258.10000000000002</v>
      </c>
      <c r="F872">
        <v>129.65</v>
      </c>
      <c r="G872">
        <v>128.44999999999999</v>
      </c>
      <c r="H872" s="4"/>
    </row>
    <row r="873" spans="1:8">
      <c r="A873" t="s">
        <v>44</v>
      </c>
      <c r="B873" t="s">
        <v>45</v>
      </c>
      <c r="C873" t="s">
        <v>46</v>
      </c>
      <c r="D873" s="4">
        <v>46003</v>
      </c>
      <c r="E873">
        <v>118.1</v>
      </c>
      <c r="F873">
        <v>35</v>
      </c>
      <c r="G873">
        <v>83.1</v>
      </c>
      <c r="H873" s="4"/>
    </row>
    <row r="874" spans="1:8">
      <c r="A874" t="s">
        <v>44</v>
      </c>
      <c r="B874" t="s">
        <v>45</v>
      </c>
      <c r="C874" t="s">
        <v>46</v>
      </c>
      <c r="D874" s="4">
        <v>46003</v>
      </c>
      <c r="E874">
        <v>248.1</v>
      </c>
      <c r="F874">
        <v>35</v>
      </c>
      <c r="G874">
        <v>213.1</v>
      </c>
      <c r="H874" s="4"/>
    </row>
    <row r="875" spans="1:8">
      <c r="A875" t="s">
        <v>44</v>
      </c>
      <c r="B875" t="s">
        <v>45</v>
      </c>
      <c r="C875" t="s">
        <v>46</v>
      </c>
      <c r="D875" s="4">
        <v>46003</v>
      </c>
      <c r="E875">
        <v>237.1</v>
      </c>
      <c r="F875">
        <v>39.26</v>
      </c>
      <c r="G875">
        <v>197.84</v>
      </c>
      <c r="H875" s="4"/>
    </row>
    <row r="876" spans="1:8">
      <c r="A876" t="s">
        <v>44</v>
      </c>
      <c r="B876" t="s">
        <v>45</v>
      </c>
      <c r="C876" t="s">
        <v>46</v>
      </c>
      <c r="D876" s="4">
        <v>46003</v>
      </c>
      <c r="E876">
        <v>258.10000000000002</v>
      </c>
      <c r="F876">
        <v>143.9</v>
      </c>
      <c r="G876">
        <v>114.2</v>
      </c>
      <c r="H876" s="4"/>
    </row>
    <row r="877" spans="1:8">
      <c r="A877" t="s">
        <v>44</v>
      </c>
      <c r="B877" t="s">
        <v>45</v>
      </c>
      <c r="C877" t="s">
        <v>46</v>
      </c>
      <c r="D877" s="4">
        <v>46003</v>
      </c>
      <c r="E877">
        <v>264.22000000000003</v>
      </c>
      <c r="F877">
        <v>39.869999999999997</v>
      </c>
      <c r="G877">
        <v>224.35</v>
      </c>
      <c r="H877" s="4"/>
    </row>
    <row r="878" spans="1:8">
      <c r="A878" t="s">
        <v>44</v>
      </c>
      <c r="B878" t="s">
        <v>45</v>
      </c>
      <c r="C878" t="s">
        <v>46</v>
      </c>
      <c r="D878" s="4">
        <v>46003</v>
      </c>
      <c r="E878">
        <v>328.5</v>
      </c>
      <c r="F878">
        <v>49.56</v>
      </c>
      <c r="G878">
        <v>278.94</v>
      </c>
      <c r="H878" s="4"/>
    </row>
    <row r="879" spans="1:8">
      <c r="A879" t="s">
        <v>44</v>
      </c>
      <c r="B879" t="s">
        <v>45</v>
      </c>
      <c r="C879" t="s">
        <v>46</v>
      </c>
      <c r="D879" s="4">
        <v>46003</v>
      </c>
      <c r="E879">
        <v>258.10000000000002</v>
      </c>
      <c r="F879">
        <v>56.99</v>
      </c>
      <c r="G879">
        <v>201.11</v>
      </c>
      <c r="H879" s="4"/>
    </row>
    <row r="880" spans="1:8">
      <c r="A880" t="s">
        <v>44</v>
      </c>
      <c r="B880" t="s">
        <v>45</v>
      </c>
      <c r="C880" t="s">
        <v>46</v>
      </c>
      <c r="D880" s="4">
        <v>46003</v>
      </c>
      <c r="E880">
        <v>352.1</v>
      </c>
      <c r="F880">
        <v>211.85</v>
      </c>
      <c r="G880">
        <v>140.25</v>
      </c>
      <c r="H880" s="4"/>
    </row>
    <row r="881" spans="1:8">
      <c r="A881" t="s">
        <v>44</v>
      </c>
      <c r="B881" t="s">
        <v>45</v>
      </c>
      <c r="C881" t="s">
        <v>46</v>
      </c>
      <c r="D881" s="4">
        <v>46003</v>
      </c>
      <c r="E881">
        <v>191.1</v>
      </c>
      <c r="F881">
        <v>35</v>
      </c>
      <c r="G881">
        <v>156.1</v>
      </c>
      <c r="H881" s="4"/>
    </row>
    <row r="882" spans="1:8">
      <c r="A882" t="s">
        <v>44</v>
      </c>
      <c r="B882" t="s">
        <v>45</v>
      </c>
      <c r="C882" t="s">
        <v>46</v>
      </c>
      <c r="D882" s="4">
        <v>46003</v>
      </c>
      <c r="E882">
        <v>154.1</v>
      </c>
      <c r="F882">
        <v>35</v>
      </c>
      <c r="G882">
        <v>119.1</v>
      </c>
      <c r="H882" s="4"/>
    </row>
    <row r="883" spans="1:8">
      <c r="A883" t="s">
        <v>44</v>
      </c>
      <c r="B883" t="s">
        <v>45</v>
      </c>
      <c r="C883" t="s">
        <v>46</v>
      </c>
      <c r="D883" s="4">
        <v>46003</v>
      </c>
      <c r="E883">
        <v>268.10000000000002</v>
      </c>
      <c r="F883">
        <v>65.12</v>
      </c>
      <c r="G883">
        <v>202.98</v>
      </c>
      <c r="H883" s="4"/>
    </row>
    <row r="884" spans="1:8">
      <c r="A884" t="s">
        <v>44</v>
      </c>
      <c r="B884" t="s">
        <v>45</v>
      </c>
      <c r="C884" t="s">
        <v>46</v>
      </c>
      <c r="D884" s="4">
        <v>46003</v>
      </c>
      <c r="E884">
        <v>352.1</v>
      </c>
      <c r="F884">
        <v>171.68</v>
      </c>
      <c r="G884">
        <v>180.42</v>
      </c>
      <c r="H884" s="4"/>
    </row>
    <row r="885" spans="1:8">
      <c r="A885" t="s">
        <v>44</v>
      </c>
      <c r="B885" t="s">
        <v>45</v>
      </c>
      <c r="C885" t="s">
        <v>46</v>
      </c>
      <c r="D885" s="4">
        <v>46003</v>
      </c>
      <c r="E885">
        <v>248.1</v>
      </c>
      <c r="F885">
        <v>37.43</v>
      </c>
      <c r="G885">
        <v>210.67</v>
      </c>
      <c r="H885" s="4"/>
    </row>
    <row r="886" spans="1:8">
      <c r="A886" t="s">
        <v>44</v>
      </c>
      <c r="B886" t="s">
        <v>45</v>
      </c>
      <c r="C886" t="s">
        <v>46</v>
      </c>
      <c r="D886" s="4">
        <v>46003</v>
      </c>
      <c r="E886">
        <v>248.1</v>
      </c>
      <c r="F886">
        <v>50.22</v>
      </c>
      <c r="G886">
        <v>197.88</v>
      </c>
      <c r="H886" s="4"/>
    </row>
    <row r="887" spans="1:8">
      <c r="A887" t="s">
        <v>44</v>
      </c>
      <c r="B887" t="s">
        <v>45</v>
      </c>
      <c r="C887" t="s">
        <v>46</v>
      </c>
      <c r="D887" s="4">
        <v>46003</v>
      </c>
      <c r="E887">
        <v>216.1</v>
      </c>
      <c r="F887">
        <v>35.79</v>
      </c>
      <c r="G887">
        <v>180.31</v>
      </c>
      <c r="H887" s="4"/>
    </row>
    <row r="888" spans="1:8">
      <c r="A888" t="s">
        <v>44</v>
      </c>
      <c r="B888" t="s">
        <v>45</v>
      </c>
      <c r="C888" t="s">
        <v>46</v>
      </c>
      <c r="D888" s="4">
        <v>46003</v>
      </c>
      <c r="E888">
        <v>268.10000000000002</v>
      </c>
      <c r="F888">
        <v>140.59</v>
      </c>
      <c r="G888">
        <v>127.51</v>
      </c>
      <c r="H888" s="4"/>
    </row>
    <row r="889" spans="1:8">
      <c r="A889" t="s">
        <v>44</v>
      </c>
      <c r="B889" t="s">
        <v>45</v>
      </c>
      <c r="C889" t="s">
        <v>46</v>
      </c>
      <c r="D889" s="4">
        <v>46003</v>
      </c>
      <c r="E889">
        <v>248.1</v>
      </c>
      <c r="F889">
        <v>35</v>
      </c>
      <c r="G889">
        <v>213.1</v>
      </c>
      <c r="H889" s="4"/>
    </row>
    <row r="890" spans="1:8">
      <c r="A890" t="s">
        <v>44</v>
      </c>
      <c r="B890" t="s">
        <v>45</v>
      </c>
      <c r="C890" t="s">
        <v>46</v>
      </c>
      <c r="D890" s="4">
        <v>46003</v>
      </c>
      <c r="E890">
        <v>158.1</v>
      </c>
      <c r="F890">
        <v>35</v>
      </c>
      <c r="G890">
        <v>123.1</v>
      </c>
      <c r="H890" s="4"/>
    </row>
    <row r="891" spans="1:8">
      <c r="A891" t="s">
        <v>44</v>
      </c>
      <c r="B891" t="s">
        <v>45</v>
      </c>
      <c r="C891" t="s">
        <v>46</v>
      </c>
      <c r="D891" s="4">
        <v>46003</v>
      </c>
      <c r="E891">
        <v>158.1</v>
      </c>
      <c r="F891">
        <v>35</v>
      </c>
      <c r="G891">
        <v>123.1</v>
      </c>
      <c r="H891" s="4"/>
    </row>
    <row r="892" spans="1:8">
      <c r="A892" t="s">
        <v>44</v>
      </c>
      <c r="B892" t="s">
        <v>45</v>
      </c>
      <c r="C892" t="s">
        <v>46</v>
      </c>
      <c r="D892" s="4">
        <v>46003</v>
      </c>
      <c r="E892">
        <v>158.1</v>
      </c>
      <c r="F892">
        <v>97.16</v>
      </c>
      <c r="G892">
        <v>60.94</v>
      </c>
      <c r="H892" s="4"/>
    </row>
    <row r="893" spans="1:8">
      <c r="A893" t="s">
        <v>44</v>
      </c>
      <c r="B893" t="s">
        <v>45</v>
      </c>
      <c r="C893" t="s">
        <v>46</v>
      </c>
      <c r="D893" s="4">
        <v>46003</v>
      </c>
      <c r="E893">
        <v>158.1</v>
      </c>
      <c r="F893">
        <v>88.14</v>
      </c>
      <c r="G893">
        <v>69.959999999999994</v>
      </c>
      <c r="H893" s="4"/>
    </row>
    <row r="894" spans="1:8">
      <c r="A894" t="s">
        <v>44</v>
      </c>
      <c r="B894" t="s">
        <v>45</v>
      </c>
      <c r="C894" t="s">
        <v>46</v>
      </c>
      <c r="D894" s="4">
        <v>46003</v>
      </c>
      <c r="E894">
        <v>510.96</v>
      </c>
      <c r="F894">
        <v>50.77</v>
      </c>
      <c r="G894">
        <v>460.19</v>
      </c>
      <c r="H894" s="4"/>
    </row>
    <row r="895" spans="1:8">
      <c r="A895" t="s">
        <v>44</v>
      </c>
      <c r="B895" t="s">
        <v>45</v>
      </c>
      <c r="C895" t="s">
        <v>46</v>
      </c>
      <c r="D895" s="4">
        <v>46003</v>
      </c>
      <c r="E895">
        <v>248.1</v>
      </c>
      <c r="F895">
        <v>35</v>
      </c>
      <c r="G895">
        <v>213.1</v>
      </c>
      <c r="H895" s="4"/>
    </row>
    <row r="896" spans="1:8">
      <c r="A896" t="s">
        <v>44</v>
      </c>
      <c r="B896" t="s">
        <v>45</v>
      </c>
      <c r="C896" t="s">
        <v>46</v>
      </c>
      <c r="D896" s="4">
        <v>46003</v>
      </c>
      <c r="E896">
        <v>248.1</v>
      </c>
      <c r="F896">
        <v>146.99</v>
      </c>
      <c r="G896">
        <v>101.11</v>
      </c>
      <c r="H896" s="4"/>
    </row>
    <row r="897" spans="1:8">
      <c r="A897" t="s">
        <v>44</v>
      </c>
      <c r="B897" t="s">
        <v>45</v>
      </c>
      <c r="C897" t="s">
        <v>46</v>
      </c>
      <c r="D897" s="4">
        <v>46003</v>
      </c>
      <c r="E897">
        <v>163.1</v>
      </c>
      <c r="F897">
        <v>35</v>
      </c>
      <c r="G897">
        <v>128.1</v>
      </c>
      <c r="H897" s="4"/>
    </row>
    <row r="898" spans="1:8">
      <c r="A898" t="s">
        <v>44</v>
      </c>
      <c r="B898" t="s">
        <v>45</v>
      </c>
      <c r="C898" t="s">
        <v>46</v>
      </c>
      <c r="D898" s="4">
        <v>46003</v>
      </c>
      <c r="E898">
        <v>168.1</v>
      </c>
      <c r="F898">
        <v>96.81</v>
      </c>
      <c r="G898">
        <v>71.290000000000006</v>
      </c>
      <c r="H898" s="4"/>
    </row>
    <row r="899" spans="1:8">
      <c r="A899" t="s">
        <v>44</v>
      </c>
      <c r="B899" t="s">
        <v>45</v>
      </c>
      <c r="C899" t="s">
        <v>46</v>
      </c>
      <c r="D899" s="4">
        <v>46003</v>
      </c>
      <c r="E899">
        <v>248.1</v>
      </c>
      <c r="F899">
        <v>119.15</v>
      </c>
      <c r="G899">
        <v>128.94999999999999</v>
      </c>
      <c r="H899" s="4"/>
    </row>
    <row r="900" spans="1:8">
      <c r="A900" t="s">
        <v>44</v>
      </c>
      <c r="B900" t="s">
        <v>45</v>
      </c>
      <c r="C900" t="s">
        <v>46</v>
      </c>
      <c r="D900" s="4">
        <v>46003</v>
      </c>
      <c r="E900">
        <v>158.1</v>
      </c>
      <c r="F900">
        <v>80.87</v>
      </c>
      <c r="G900">
        <v>77.23</v>
      </c>
      <c r="H900" s="4"/>
    </row>
    <row r="901" spans="1:8">
      <c r="A901" t="s">
        <v>44</v>
      </c>
      <c r="B901" t="s">
        <v>45</v>
      </c>
      <c r="C901" t="s">
        <v>46</v>
      </c>
      <c r="D901" s="4">
        <v>46003</v>
      </c>
      <c r="E901">
        <v>248.1</v>
      </c>
      <c r="F901">
        <v>35</v>
      </c>
      <c r="G901">
        <v>213.1</v>
      </c>
      <c r="H901" s="4"/>
    </row>
    <row r="902" spans="1:8">
      <c r="A902" t="s">
        <v>44</v>
      </c>
      <c r="B902" t="s">
        <v>45</v>
      </c>
      <c r="C902" t="s">
        <v>46</v>
      </c>
      <c r="D902" s="4">
        <v>46003</v>
      </c>
      <c r="E902">
        <v>192.1</v>
      </c>
      <c r="F902">
        <v>35</v>
      </c>
      <c r="G902">
        <v>157.1</v>
      </c>
      <c r="H902" s="4"/>
    </row>
    <row r="903" spans="1:8">
      <c r="A903" t="s">
        <v>44</v>
      </c>
      <c r="B903" t="s">
        <v>45</v>
      </c>
      <c r="C903" t="s">
        <v>46</v>
      </c>
      <c r="D903" s="4">
        <v>46003</v>
      </c>
      <c r="E903">
        <v>118.1</v>
      </c>
      <c r="F903">
        <v>35</v>
      </c>
      <c r="G903">
        <v>83.1</v>
      </c>
      <c r="H903" s="4"/>
    </row>
    <row r="904" spans="1:8">
      <c r="A904" t="s">
        <v>44</v>
      </c>
      <c r="B904" t="s">
        <v>45</v>
      </c>
      <c r="C904" t="s">
        <v>46</v>
      </c>
      <c r="D904" s="4">
        <v>46003</v>
      </c>
      <c r="E904">
        <v>245.16</v>
      </c>
      <c r="F904">
        <v>50.97</v>
      </c>
      <c r="G904">
        <v>194.19</v>
      </c>
      <c r="H904" s="4"/>
    </row>
    <row r="905" spans="1:8">
      <c r="A905" t="s">
        <v>44</v>
      </c>
      <c r="B905" t="s">
        <v>45</v>
      </c>
      <c r="C905" t="s">
        <v>46</v>
      </c>
      <c r="D905" s="4">
        <v>46003</v>
      </c>
      <c r="E905">
        <v>258.10000000000002</v>
      </c>
      <c r="F905">
        <v>158.62</v>
      </c>
      <c r="G905">
        <v>99.48</v>
      </c>
      <c r="H905" s="4"/>
    </row>
    <row r="906" spans="1:8">
      <c r="A906" t="s">
        <v>44</v>
      </c>
      <c r="B906" t="s">
        <v>45</v>
      </c>
      <c r="C906" t="s">
        <v>46</v>
      </c>
      <c r="D906" s="4">
        <v>46003</v>
      </c>
      <c r="E906">
        <v>351.04</v>
      </c>
      <c r="F906">
        <v>176.33</v>
      </c>
      <c r="G906">
        <v>174.71</v>
      </c>
      <c r="H906" s="4"/>
    </row>
    <row r="907" spans="1:8">
      <c r="A907" t="s">
        <v>44</v>
      </c>
      <c r="B907" t="s">
        <v>45</v>
      </c>
      <c r="C907" t="s">
        <v>46</v>
      </c>
      <c r="D907" s="4">
        <v>46003</v>
      </c>
      <c r="E907">
        <v>245.16</v>
      </c>
      <c r="F907">
        <v>36.99</v>
      </c>
      <c r="G907">
        <v>208.17</v>
      </c>
      <c r="H907" s="4"/>
    </row>
    <row r="908" spans="1:8">
      <c r="A908" t="s">
        <v>44</v>
      </c>
      <c r="B908" t="s">
        <v>45</v>
      </c>
      <c r="C908" t="s">
        <v>46</v>
      </c>
      <c r="D908" s="4">
        <v>46003</v>
      </c>
      <c r="E908">
        <v>382.77</v>
      </c>
      <c r="F908">
        <v>35</v>
      </c>
      <c r="G908">
        <v>347.77</v>
      </c>
      <c r="H908" s="4"/>
    </row>
    <row r="909" spans="1:8">
      <c r="A909" t="s">
        <v>44</v>
      </c>
      <c r="B909" t="s">
        <v>45</v>
      </c>
      <c r="C909" t="s">
        <v>46</v>
      </c>
      <c r="D909" s="4">
        <v>46003</v>
      </c>
      <c r="E909">
        <v>168.1</v>
      </c>
      <c r="F909">
        <v>35</v>
      </c>
      <c r="G909">
        <v>133.1</v>
      </c>
      <c r="H909" s="4"/>
    </row>
    <row r="910" spans="1:8">
      <c r="A910" t="s">
        <v>44</v>
      </c>
      <c r="B910" t="s">
        <v>45</v>
      </c>
      <c r="C910" t="s">
        <v>46</v>
      </c>
      <c r="D910" s="4">
        <v>46003</v>
      </c>
      <c r="E910">
        <v>245.16</v>
      </c>
      <c r="F910">
        <v>35</v>
      </c>
      <c r="G910">
        <v>210.16</v>
      </c>
      <c r="H910" s="4"/>
    </row>
    <row r="911" spans="1:8">
      <c r="A911" t="s">
        <v>44</v>
      </c>
      <c r="B911" t="s">
        <v>45</v>
      </c>
      <c r="C911" t="s">
        <v>46</v>
      </c>
      <c r="D911" s="4">
        <v>46003</v>
      </c>
      <c r="E911">
        <v>216.1</v>
      </c>
      <c r="F911">
        <v>35</v>
      </c>
      <c r="G911">
        <v>181.1</v>
      </c>
      <c r="H911" s="4"/>
    </row>
    <row r="912" spans="1:8">
      <c r="A912" t="s">
        <v>44</v>
      </c>
      <c r="B912" t="s">
        <v>45</v>
      </c>
      <c r="C912" t="s">
        <v>46</v>
      </c>
      <c r="D912" s="4">
        <v>46003</v>
      </c>
      <c r="E912">
        <v>448.1</v>
      </c>
      <c r="F912">
        <v>35.450000000000003</v>
      </c>
      <c r="G912">
        <v>412.65</v>
      </c>
      <c r="H912" s="4"/>
    </row>
    <row r="913" spans="1:8">
      <c r="A913" t="s">
        <v>44</v>
      </c>
      <c r="B913" t="s">
        <v>45</v>
      </c>
      <c r="C913" t="s">
        <v>46</v>
      </c>
      <c r="D913" s="4">
        <v>46003</v>
      </c>
      <c r="E913">
        <v>170.1</v>
      </c>
      <c r="F913">
        <v>35</v>
      </c>
      <c r="G913">
        <v>135.1</v>
      </c>
      <c r="H913" s="4"/>
    </row>
    <row r="914" spans="1:8">
      <c r="A914" t="s">
        <v>44</v>
      </c>
      <c r="B914" t="s">
        <v>45</v>
      </c>
      <c r="C914" t="s">
        <v>46</v>
      </c>
      <c r="D914" s="4">
        <v>46003</v>
      </c>
      <c r="E914">
        <v>118.1</v>
      </c>
      <c r="F914">
        <v>69.97</v>
      </c>
      <c r="G914">
        <v>48.13</v>
      </c>
      <c r="H914" s="4"/>
    </row>
    <row r="915" spans="1:8">
      <c r="A915" t="s">
        <v>44</v>
      </c>
      <c r="B915" t="s">
        <v>45</v>
      </c>
      <c r="C915" t="s">
        <v>46</v>
      </c>
      <c r="D915" s="4">
        <v>46003</v>
      </c>
      <c r="E915">
        <v>118.1</v>
      </c>
      <c r="F915">
        <v>35</v>
      </c>
      <c r="G915">
        <v>83.1</v>
      </c>
      <c r="H915" s="4"/>
    </row>
    <row r="916" spans="1:8">
      <c r="A916" t="s">
        <v>44</v>
      </c>
      <c r="B916" t="s">
        <v>45</v>
      </c>
      <c r="C916" t="s">
        <v>46</v>
      </c>
      <c r="D916" s="4">
        <v>46003</v>
      </c>
      <c r="E916">
        <v>248.1</v>
      </c>
      <c r="F916">
        <v>146.99</v>
      </c>
      <c r="G916">
        <v>101.11</v>
      </c>
      <c r="H916" s="4"/>
    </row>
    <row r="917" spans="1:8">
      <c r="A917" t="s">
        <v>44</v>
      </c>
      <c r="B917" t="s">
        <v>45</v>
      </c>
      <c r="C917" t="s">
        <v>46</v>
      </c>
      <c r="D917" s="4">
        <v>46003</v>
      </c>
      <c r="E917">
        <v>158.1</v>
      </c>
      <c r="F917">
        <v>35</v>
      </c>
      <c r="G917">
        <v>123.1</v>
      </c>
      <c r="H917" s="4"/>
    </row>
    <row r="918" spans="1:8">
      <c r="A918" t="s">
        <v>44</v>
      </c>
      <c r="B918" t="s">
        <v>45</v>
      </c>
      <c r="C918" t="s">
        <v>46</v>
      </c>
      <c r="D918" s="4">
        <v>46003</v>
      </c>
      <c r="E918">
        <v>216.1</v>
      </c>
      <c r="F918">
        <v>35</v>
      </c>
      <c r="G918">
        <v>181.1</v>
      </c>
      <c r="H918" s="4"/>
    </row>
    <row r="919" spans="1:8">
      <c r="A919" t="s">
        <v>44</v>
      </c>
      <c r="B919" t="s">
        <v>45</v>
      </c>
      <c r="C919" t="s">
        <v>46</v>
      </c>
      <c r="D919" s="4">
        <v>46003</v>
      </c>
      <c r="E919">
        <v>87.86</v>
      </c>
      <c r="F919">
        <v>35</v>
      </c>
      <c r="G919">
        <v>52.86</v>
      </c>
      <c r="H919" s="4"/>
    </row>
    <row r="920" spans="1:8">
      <c r="A920" t="s">
        <v>44</v>
      </c>
      <c r="B920" t="s">
        <v>45</v>
      </c>
      <c r="C920" t="s">
        <v>46</v>
      </c>
      <c r="D920" s="4">
        <v>46003</v>
      </c>
      <c r="E920">
        <v>158.1</v>
      </c>
      <c r="F920">
        <v>36.07</v>
      </c>
      <c r="G920">
        <v>122.03</v>
      </c>
      <c r="H920" s="4"/>
    </row>
    <row r="921" spans="1:8">
      <c r="A921" t="s">
        <v>44</v>
      </c>
      <c r="B921" t="s">
        <v>45</v>
      </c>
      <c r="C921" t="s">
        <v>46</v>
      </c>
      <c r="D921" s="4">
        <v>46003</v>
      </c>
      <c r="E921">
        <v>237.1</v>
      </c>
      <c r="F921">
        <v>35</v>
      </c>
      <c r="G921">
        <v>202.1</v>
      </c>
      <c r="H921" s="4"/>
    </row>
    <row r="922" spans="1:8">
      <c r="A922" t="s">
        <v>44</v>
      </c>
      <c r="B922" t="s">
        <v>45</v>
      </c>
      <c r="C922" t="s">
        <v>46</v>
      </c>
      <c r="D922" s="4">
        <v>46003</v>
      </c>
      <c r="E922">
        <v>245.14</v>
      </c>
      <c r="F922">
        <v>147.5</v>
      </c>
      <c r="G922">
        <v>97.64</v>
      </c>
      <c r="H922" s="4"/>
    </row>
    <row r="923" spans="1:8">
      <c r="A923" t="s">
        <v>44</v>
      </c>
      <c r="B923" t="s">
        <v>45</v>
      </c>
      <c r="C923" t="s">
        <v>46</v>
      </c>
      <c r="D923" s="4">
        <v>46003</v>
      </c>
      <c r="E923">
        <v>216.1</v>
      </c>
      <c r="F923">
        <v>121.67</v>
      </c>
      <c r="G923">
        <v>94.43</v>
      </c>
      <c r="H923" s="4"/>
    </row>
    <row r="924" spans="1:8">
      <c r="A924" t="s">
        <v>44</v>
      </c>
      <c r="B924" t="s">
        <v>45</v>
      </c>
      <c r="C924" t="s">
        <v>46</v>
      </c>
      <c r="D924" s="4">
        <v>46003</v>
      </c>
      <c r="E924">
        <v>258.10000000000002</v>
      </c>
      <c r="F924">
        <v>42.27</v>
      </c>
      <c r="G924">
        <v>215.83</v>
      </c>
      <c r="H924" s="4"/>
    </row>
    <row r="925" spans="1:8">
      <c r="A925" t="s">
        <v>44</v>
      </c>
      <c r="B925" t="s">
        <v>45</v>
      </c>
      <c r="C925" t="s">
        <v>46</v>
      </c>
      <c r="D925" s="4">
        <v>46003</v>
      </c>
      <c r="E925">
        <v>208.1</v>
      </c>
      <c r="F925">
        <v>35</v>
      </c>
      <c r="G925">
        <v>173.1</v>
      </c>
      <c r="H925" s="4"/>
    </row>
    <row r="926" spans="1:8">
      <c r="A926" t="s">
        <v>44</v>
      </c>
      <c r="B926" t="s">
        <v>45</v>
      </c>
      <c r="C926" t="s">
        <v>46</v>
      </c>
      <c r="D926" s="4">
        <v>46003</v>
      </c>
      <c r="E926">
        <v>234.1</v>
      </c>
      <c r="F926">
        <v>35</v>
      </c>
      <c r="G926">
        <v>199.1</v>
      </c>
      <c r="H926" s="4"/>
    </row>
    <row r="927" spans="1:8">
      <c r="A927" t="s">
        <v>44</v>
      </c>
      <c r="B927" t="s">
        <v>45</v>
      </c>
      <c r="C927" t="s">
        <v>46</v>
      </c>
      <c r="D927" s="4">
        <v>46003</v>
      </c>
      <c r="E927">
        <v>234.1</v>
      </c>
      <c r="F927">
        <v>44.37</v>
      </c>
      <c r="G927">
        <v>189.73</v>
      </c>
      <c r="H927" s="4"/>
    </row>
    <row r="928" spans="1:8">
      <c r="A928" t="s">
        <v>44</v>
      </c>
      <c r="B928" t="s">
        <v>45</v>
      </c>
      <c r="C928" t="s">
        <v>46</v>
      </c>
      <c r="D928" s="4">
        <v>46003</v>
      </c>
      <c r="E928">
        <v>328.5</v>
      </c>
      <c r="F928">
        <v>67.09</v>
      </c>
      <c r="G928">
        <v>261.41000000000003</v>
      </c>
      <c r="H928" s="4"/>
    </row>
    <row r="929" spans="1:8">
      <c r="A929" t="s">
        <v>44</v>
      </c>
      <c r="B929" t="s">
        <v>45</v>
      </c>
      <c r="C929" t="s">
        <v>46</v>
      </c>
      <c r="D929" s="4">
        <v>46003</v>
      </c>
      <c r="E929">
        <v>248.1</v>
      </c>
      <c r="F929">
        <v>133.30000000000001</v>
      </c>
      <c r="G929">
        <v>114.8</v>
      </c>
      <c r="H929" s="4"/>
    </row>
    <row r="930" spans="1:8">
      <c r="A930" t="s">
        <v>44</v>
      </c>
      <c r="B930" t="s">
        <v>45</v>
      </c>
      <c r="C930" t="s">
        <v>46</v>
      </c>
      <c r="D930" s="4">
        <v>46003</v>
      </c>
      <c r="E930">
        <v>170.1</v>
      </c>
      <c r="F930">
        <v>35</v>
      </c>
      <c r="G930">
        <v>135.1</v>
      </c>
      <c r="H930" s="4"/>
    </row>
    <row r="931" spans="1:8">
      <c r="A931" t="s">
        <v>44</v>
      </c>
      <c r="B931" t="s">
        <v>45</v>
      </c>
      <c r="C931" t="s">
        <v>46</v>
      </c>
      <c r="D931" s="4">
        <v>46003</v>
      </c>
      <c r="E931">
        <v>302.10000000000002</v>
      </c>
      <c r="F931">
        <v>40.020000000000003</v>
      </c>
      <c r="G931">
        <v>262.08</v>
      </c>
      <c r="H931" s="4"/>
    </row>
    <row r="932" spans="1:8">
      <c r="A932" t="s">
        <v>44</v>
      </c>
      <c r="B932" t="s">
        <v>45</v>
      </c>
      <c r="C932" t="s">
        <v>46</v>
      </c>
      <c r="D932" s="4">
        <v>46003</v>
      </c>
      <c r="E932">
        <v>351.04</v>
      </c>
      <c r="F932">
        <v>77.510000000000005</v>
      </c>
      <c r="G932">
        <v>273.52999999999997</v>
      </c>
      <c r="H932" s="4"/>
    </row>
    <row r="933" spans="1:8">
      <c r="A933" t="s">
        <v>44</v>
      </c>
      <c r="B933" t="s">
        <v>45</v>
      </c>
      <c r="C933" t="s">
        <v>46</v>
      </c>
      <c r="D933" s="4">
        <v>46003</v>
      </c>
      <c r="E933">
        <v>268.10000000000002</v>
      </c>
      <c r="F933">
        <v>40.450000000000003</v>
      </c>
      <c r="G933">
        <v>227.65</v>
      </c>
      <c r="H933" s="4"/>
    </row>
    <row r="934" spans="1:8">
      <c r="A934" t="s">
        <v>44</v>
      </c>
      <c r="B934" t="s">
        <v>45</v>
      </c>
      <c r="C934" t="s">
        <v>46</v>
      </c>
      <c r="D934" s="4">
        <v>46003</v>
      </c>
      <c r="E934">
        <v>248.1</v>
      </c>
      <c r="F934">
        <v>37.43</v>
      </c>
      <c r="G934">
        <v>210.67</v>
      </c>
      <c r="H934" s="4"/>
    </row>
    <row r="935" spans="1:8">
      <c r="A935" t="s">
        <v>44</v>
      </c>
      <c r="B935" t="s">
        <v>45</v>
      </c>
      <c r="C935" t="s">
        <v>46</v>
      </c>
      <c r="D935" s="4">
        <v>46003</v>
      </c>
      <c r="E935">
        <v>930.97</v>
      </c>
      <c r="F935">
        <v>56.53</v>
      </c>
      <c r="G935">
        <v>874.44</v>
      </c>
      <c r="H935" s="4"/>
    </row>
    <row r="936" spans="1:8">
      <c r="A936" t="s">
        <v>44</v>
      </c>
      <c r="B936" t="s">
        <v>45</v>
      </c>
      <c r="C936" t="s">
        <v>46</v>
      </c>
      <c r="D936" s="4">
        <v>46003</v>
      </c>
      <c r="E936">
        <v>158.1</v>
      </c>
      <c r="F936">
        <v>89.02</v>
      </c>
      <c r="G936">
        <v>69.08</v>
      </c>
      <c r="H936" s="4"/>
    </row>
    <row r="937" spans="1:8">
      <c r="A937" t="s">
        <v>44</v>
      </c>
      <c r="B937" t="s">
        <v>45</v>
      </c>
      <c r="C937" t="s">
        <v>46</v>
      </c>
      <c r="D937" s="4">
        <v>46003</v>
      </c>
      <c r="E937">
        <v>168.1</v>
      </c>
      <c r="F937">
        <v>35</v>
      </c>
      <c r="G937">
        <v>133.1</v>
      </c>
      <c r="H937" s="4"/>
    </row>
    <row r="938" spans="1:8">
      <c r="A938" t="s">
        <v>44</v>
      </c>
      <c r="B938" t="s">
        <v>45</v>
      </c>
      <c r="C938" t="s">
        <v>46</v>
      </c>
      <c r="D938" s="4">
        <v>46003</v>
      </c>
      <c r="E938">
        <v>248.1</v>
      </c>
      <c r="F938">
        <v>43.82</v>
      </c>
      <c r="G938">
        <v>204.28</v>
      </c>
      <c r="H938" s="4"/>
    </row>
    <row r="939" spans="1:8">
      <c r="A939" t="s">
        <v>44</v>
      </c>
      <c r="B939" t="s">
        <v>45</v>
      </c>
      <c r="C939" t="s">
        <v>46</v>
      </c>
      <c r="D939" s="4">
        <v>46003</v>
      </c>
      <c r="E939">
        <v>268.10000000000002</v>
      </c>
      <c r="F939">
        <v>50.81</v>
      </c>
      <c r="G939">
        <v>217.29</v>
      </c>
      <c r="H939" s="4"/>
    </row>
    <row r="940" spans="1:8">
      <c r="A940" t="s">
        <v>44</v>
      </c>
      <c r="B940" t="s">
        <v>45</v>
      </c>
      <c r="C940" t="s">
        <v>46</v>
      </c>
      <c r="D940" s="4">
        <v>46003</v>
      </c>
      <c r="E940">
        <v>328.5</v>
      </c>
      <c r="F940">
        <v>35</v>
      </c>
      <c r="G940">
        <v>293.5</v>
      </c>
      <c r="H940" s="4"/>
    </row>
    <row r="941" spans="1:8">
      <c r="A941" t="s">
        <v>44</v>
      </c>
      <c r="B941" t="s">
        <v>45</v>
      </c>
      <c r="C941" t="s">
        <v>46</v>
      </c>
      <c r="D941" s="4">
        <v>46003</v>
      </c>
      <c r="E941">
        <v>208.1</v>
      </c>
      <c r="F941">
        <v>35</v>
      </c>
      <c r="G941">
        <v>173.1</v>
      </c>
      <c r="H941" s="4"/>
    </row>
    <row r="942" spans="1:8">
      <c r="A942" t="s">
        <v>44</v>
      </c>
      <c r="B942" t="s">
        <v>45</v>
      </c>
      <c r="C942" t="s">
        <v>46</v>
      </c>
      <c r="D942" s="4">
        <v>46003</v>
      </c>
      <c r="E942">
        <v>234.1</v>
      </c>
      <c r="F942">
        <v>57.29</v>
      </c>
      <c r="G942">
        <v>176.81</v>
      </c>
      <c r="H942" s="4"/>
    </row>
    <row r="943" spans="1:8">
      <c r="A943" t="s">
        <v>44</v>
      </c>
      <c r="B943" t="s">
        <v>45</v>
      </c>
      <c r="C943" t="s">
        <v>46</v>
      </c>
      <c r="D943" s="4">
        <v>46003</v>
      </c>
      <c r="E943">
        <v>234.1</v>
      </c>
      <c r="F943">
        <v>35</v>
      </c>
      <c r="G943">
        <v>199.1</v>
      </c>
      <c r="H943" s="4"/>
    </row>
    <row r="944" spans="1:8">
      <c r="A944" t="s">
        <v>44</v>
      </c>
      <c r="B944" t="s">
        <v>45</v>
      </c>
      <c r="C944" t="s">
        <v>46</v>
      </c>
      <c r="D944" s="4">
        <v>46003</v>
      </c>
      <c r="E944">
        <v>237.1</v>
      </c>
      <c r="F944">
        <v>52.79</v>
      </c>
      <c r="G944">
        <v>184.31</v>
      </c>
      <c r="H944" s="4"/>
    </row>
    <row r="945" spans="1:8">
      <c r="A945" t="s">
        <v>44</v>
      </c>
      <c r="B945" t="s">
        <v>45</v>
      </c>
      <c r="C945" t="s">
        <v>46</v>
      </c>
      <c r="D945" s="4">
        <v>46003</v>
      </c>
      <c r="E945">
        <v>87.86</v>
      </c>
      <c r="F945">
        <v>35</v>
      </c>
      <c r="G945">
        <v>52.86</v>
      </c>
      <c r="H945" s="4"/>
    </row>
    <row r="946" spans="1:8">
      <c r="A946" t="s">
        <v>44</v>
      </c>
      <c r="B946" t="s">
        <v>45</v>
      </c>
      <c r="C946" t="s">
        <v>46</v>
      </c>
      <c r="D946" s="4">
        <v>46003</v>
      </c>
      <c r="E946">
        <v>154.1</v>
      </c>
      <c r="F946">
        <v>35</v>
      </c>
      <c r="G946">
        <v>119.1</v>
      </c>
      <c r="H946" s="4"/>
    </row>
    <row r="947" spans="1:8">
      <c r="A947" t="s">
        <v>44</v>
      </c>
      <c r="B947" t="s">
        <v>45</v>
      </c>
      <c r="C947" t="s">
        <v>46</v>
      </c>
      <c r="D947" s="4">
        <v>46003</v>
      </c>
      <c r="E947">
        <v>170.1</v>
      </c>
      <c r="F947">
        <v>35</v>
      </c>
      <c r="G947">
        <v>135.1</v>
      </c>
      <c r="H947" s="4"/>
    </row>
    <row r="948" spans="1:8">
      <c r="A948" t="s">
        <v>44</v>
      </c>
      <c r="B948" t="s">
        <v>45</v>
      </c>
      <c r="C948" t="s">
        <v>46</v>
      </c>
      <c r="D948" s="4">
        <v>46003</v>
      </c>
      <c r="E948">
        <v>237.1</v>
      </c>
      <c r="F948">
        <v>35</v>
      </c>
      <c r="G948">
        <v>202.1</v>
      </c>
      <c r="H948" s="4"/>
    </row>
    <row r="949" spans="1:8">
      <c r="A949" t="s">
        <v>44</v>
      </c>
      <c r="B949" t="s">
        <v>45</v>
      </c>
      <c r="C949" t="s">
        <v>46</v>
      </c>
      <c r="D949" s="4">
        <v>46003</v>
      </c>
      <c r="E949">
        <v>302.10000000000002</v>
      </c>
      <c r="F949">
        <v>55.59</v>
      </c>
      <c r="G949">
        <v>246.51</v>
      </c>
      <c r="H949" s="4"/>
    </row>
    <row r="950" spans="1:8">
      <c r="A950" t="s">
        <v>44</v>
      </c>
      <c r="B950" t="s">
        <v>45</v>
      </c>
      <c r="C950" t="s">
        <v>46</v>
      </c>
      <c r="D950" s="4">
        <v>46003</v>
      </c>
      <c r="E950">
        <v>118.1</v>
      </c>
      <c r="F950">
        <v>56.72</v>
      </c>
      <c r="G950">
        <v>61.38</v>
      </c>
      <c r="H950" s="4"/>
    </row>
    <row r="951" spans="1:8">
      <c r="A951" t="s">
        <v>44</v>
      </c>
      <c r="B951" t="s">
        <v>45</v>
      </c>
      <c r="C951" t="s">
        <v>46</v>
      </c>
      <c r="D951" s="4">
        <v>46003</v>
      </c>
      <c r="E951">
        <v>168.1</v>
      </c>
      <c r="F951">
        <v>101.45</v>
      </c>
      <c r="G951">
        <v>66.650000000000006</v>
      </c>
      <c r="H951" s="4"/>
    </row>
    <row r="952" spans="1:8">
      <c r="A952" t="s">
        <v>44</v>
      </c>
      <c r="B952" t="s">
        <v>45</v>
      </c>
      <c r="C952" t="s">
        <v>46</v>
      </c>
      <c r="D952" s="4">
        <v>46003</v>
      </c>
      <c r="E952">
        <v>158.1</v>
      </c>
      <c r="F952">
        <v>79.42</v>
      </c>
      <c r="G952">
        <v>78.680000000000007</v>
      </c>
      <c r="H952" s="4"/>
    </row>
    <row r="953" spans="1:8">
      <c r="A953" t="s">
        <v>44</v>
      </c>
      <c r="B953" t="s">
        <v>45</v>
      </c>
      <c r="C953" t="s">
        <v>46</v>
      </c>
      <c r="D953" s="4">
        <v>46020</v>
      </c>
      <c r="E953">
        <v>163.1</v>
      </c>
      <c r="F953">
        <v>69.64</v>
      </c>
      <c r="G953">
        <v>93.46</v>
      </c>
      <c r="H953" s="4"/>
    </row>
    <row r="954" spans="1:8">
      <c r="A954" t="s">
        <v>44</v>
      </c>
      <c r="B954" t="s">
        <v>45</v>
      </c>
      <c r="C954" t="s">
        <v>46</v>
      </c>
      <c r="D954" s="4">
        <v>46020</v>
      </c>
      <c r="E954">
        <v>245.16</v>
      </c>
      <c r="F954">
        <v>108.12</v>
      </c>
      <c r="G954">
        <v>137.04</v>
      </c>
      <c r="H954" s="4"/>
    </row>
    <row r="955" spans="1:8">
      <c r="A955" t="s">
        <v>44</v>
      </c>
      <c r="B955" t="s">
        <v>45</v>
      </c>
      <c r="C955" t="s">
        <v>46</v>
      </c>
      <c r="D955" s="4">
        <v>46020</v>
      </c>
      <c r="E955">
        <v>510.94</v>
      </c>
      <c r="F955">
        <v>218.17</v>
      </c>
      <c r="G955">
        <v>292.77</v>
      </c>
      <c r="H955" s="4"/>
    </row>
    <row r="956" spans="1:8">
      <c r="A956" t="s">
        <v>44</v>
      </c>
      <c r="B956" t="s">
        <v>45</v>
      </c>
      <c r="C956" t="s">
        <v>46</v>
      </c>
      <c r="D956" s="4">
        <v>46020</v>
      </c>
      <c r="E956">
        <v>191.1</v>
      </c>
      <c r="F956">
        <v>40</v>
      </c>
      <c r="G956">
        <v>151.1</v>
      </c>
      <c r="H956" s="4"/>
    </row>
    <row r="957" spans="1:8">
      <c r="A957" t="s">
        <v>44</v>
      </c>
      <c r="B957" t="s">
        <v>45</v>
      </c>
      <c r="C957" t="s">
        <v>46</v>
      </c>
      <c r="D957" s="4">
        <v>46020</v>
      </c>
      <c r="E957">
        <v>248.1</v>
      </c>
      <c r="F957">
        <v>92.91</v>
      </c>
      <c r="G957">
        <v>155.19</v>
      </c>
      <c r="H957" s="4"/>
    </row>
    <row r="958" spans="1:8">
      <c r="A958" t="s">
        <v>44</v>
      </c>
      <c r="B958" t="s">
        <v>45</v>
      </c>
      <c r="C958" t="s">
        <v>46</v>
      </c>
      <c r="D958" s="4">
        <v>46020</v>
      </c>
      <c r="E958">
        <v>158.1</v>
      </c>
      <c r="F958">
        <v>40</v>
      </c>
      <c r="G958">
        <v>118.1</v>
      </c>
      <c r="H958" s="4"/>
    </row>
    <row r="959" spans="1:8">
      <c r="A959" t="s">
        <v>44</v>
      </c>
      <c r="B959" t="s">
        <v>45</v>
      </c>
      <c r="C959" t="s">
        <v>46</v>
      </c>
      <c r="D959" s="4">
        <v>46020</v>
      </c>
      <c r="E959">
        <v>216.1</v>
      </c>
      <c r="F959">
        <v>40</v>
      </c>
      <c r="G959">
        <v>176.1</v>
      </c>
      <c r="H959" s="4"/>
    </row>
    <row r="960" spans="1:8">
      <c r="A960" t="s">
        <v>44</v>
      </c>
      <c r="B960" t="s">
        <v>45</v>
      </c>
      <c r="C960" t="s">
        <v>46</v>
      </c>
      <c r="D960" s="4">
        <v>46020</v>
      </c>
      <c r="E960">
        <v>191.1</v>
      </c>
      <c r="F960">
        <v>48.83</v>
      </c>
      <c r="G960">
        <v>142.27000000000001</v>
      </c>
      <c r="H960" s="4"/>
    </row>
    <row r="961" spans="1:8">
      <c r="A961" t="s">
        <v>44</v>
      </c>
      <c r="B961" t="s">
        <v>45</v>
      </c>
      <c r="C961" t="s">
        <v>46</v>
      </c>
      <c r="D961" s="4">
        <v>46020</v>
      </c>
      <c r="E961">
        <v>510.96</v>
      </c>
      <c r="F961">
        <v>112.67</v>
      </c>
      <c r="G961">
        <v>398.29</v>
      </c>
      <c r="H961" s="4"/>
    </row>
    <row r="962" spans="1:8">
      <c r="A962" t="s">
        <v>44</v>
      </c>
      <c r="B962" t="s">
        <v>45</v>
      </c>
      <c r="C962" t="s">
        <v>46</v>
      </c>
      <c r="D962" s="4">
        <v>46020</v>
      </c>
      <c r="E962">
        <v>248.1</v>
      </c>
      <c r="F962">
        <v>104.2</v>
      </c>
      <c r="G962">
        <v>143.9</v>
      </c>
      <c r="H962" s="4"/>
    </row>
    <row r="963" spans="1:8">
      <c r="A963" t="s">
        <v>44</v>
      </c>
      <c r="B963" t="s">
        <v>45</v>
      </c>
      <c r="C963" t="s">
        <v>46</v>
      </c>
      <c r="D963" s="4">
        <v>46020</v>
      </c>
      <c r="E963">
        <v>158.1</v>
      </c>
      <c r="F963">
        <v>40</v>
      </c>
      <c r="G963">
        <v>118.1</v>
      </c>
      <c r="H963" s="4"/>
    </row>
    <row r="964" spans="1:8">
      <c r="A964" t="s">
        <v>44</v>
      </c>
      <c r="B964" t="s">
        <v>45</v>
      </c>
      <c r="C964" t="s">
        <v>46</v>
      </c>
      <c r="D964" s="4">
        <v>46020</v>
      </c>
      <c r="E964">
        <v>163.1</v>
      </c>
      <c r="F964">
        <v>40</v>
      </c>
      <c r="G964">
        <v>123.1</v>
      </c>
      <c r="H964" s="4"/>
    </row>
    <row r="965" spans="1:8">
      <c r="A965" t="s">
        <v>44</v>
      </c>
      <c r="B965" t="s">
        <v>45</v>
      </c>
      <c r="C965" t="s">
        <v>46</v>
      </c>
      <c r="D965" s="4">
        <v>46020</v>
      </c>
      <c r="E965">
        <v>158.1</v>
      </c>
      <c r="F965">
        <v>40</v>
      </c>
      <c r="G965">
        <v>118.1</v>
      </c>
      <c r="H965" s="4"/>
    </row>
    <row r="966" spans="1:8">
      <c r="A966" t="s">
        <v>44</v>
      </c>
      <c r="B966" t="s">
        <v>45</v>
      </c>
      <c r="C966" t="s">
        <v>46</v>
      </c>
      <c r="D966" s="4">
        <v>46020</v>
      </c>
      <c r="E966">
        <v>248.1</v>
      </c>
      <c r="F966">
        <v>104.2</v>
      </c>
      <c r="G966">
        <v>143.9</v>
      </c>
      <c r="H966" s="4"/>
    </row>
    <row r="967" spans="1:8">
      <c r="A967" t="s">
        <v>44</v>
      </c>
      <c r="B967" t="s">
        <v>45</v>
      </c>
      <c r="C967" t="s">
        <v>46</v>
      </c>
      <c r="D967" s="4">
        <v>46020</v>
      </c>
      <c r="E967">
        <v>154.1</v>
      </c>
      <c r="F967">
        <v>65.260000000000005</v>
      </c>
      <c r="G967">
        <v>88.84</v>
      </c>
      <c r="H967" s="4"/>
    </row>
    <row r="968" spans="1:8">
      <c r="A968" t="s">
        <v>44</v>
      </c>
      <c r="B968" t="s">
        <v>45</v>
      </c>
      <c r="C968" t="s">
        <v>46</v>
      </c>
      <c r="D968" s="4">
        <v>46020</v>
      </c>
      <c r="E968">
        <v>328.5</v>
      </c>
      <c r="F968">
        <v>140.27000000000001</v>
      </c>
      <c r="G968">
        <v>188.23</v>
      </c>
      <c r="H968" s="4"/>
    </row>
    <row r="969" spans="1:8">
      <c r="A969" t="s">
        <v>44</v>
      </c>
      <c r="B969" t="s">
        <v>45</v>
      </c>
      <c r="C969" t="s">
        <v>46</v>
      </c>
      <c r="D969" s="4">
        <v>46020</v>
      </c>
      <c r="E969">
        <v>268.10000000000002</v>
      </c>
      <c r="F969">
        <v>114.48</v>
      </c>
      <c r="G969">
        <v>153.62</v>
      </c>
      <c r="H969" s="4"/>
    </row>
    <row r="970" spans="1:8">
      <c r="A970" t="s">
        <v>44</v>
      </c>
      <c r="B970" t="s">
        <v>45</v>
      </c>
      <c r="C970" t="s">
        <v>46</v>
      </c>
      <c r="D970" s="4">
        <v>46020</v>
      </c>
      <c r="E970">
        <v>216.1</v>
      </c>
      <c r="F970">
        <v>40</v>
      </c>
      <c r="G970">
        <v>176.1</v>
      </c>
      <c r="H970" s="4"/>
    </row>
    <row r="971" spans="1:8">
      <c r="A971" t="s">
        <v>44</v>
      </c>
      <c r="B971" t="s">
        <v>45</v>
      </c>
      <c r="C971" t="s">
        <v>46</v>
      </c>
      <c r="D971" s="4">
        <v>46020</v>
      </c>
      <c r="E971">
        <v>510.96</v>
      </c>
      <c r="F971">
        <v>164.53</v>
      </c>
      <c r="G971">
        <v>346.43</v>
      </c>
      <c r="H971" s="4"/>
    </row>
    <row r="972" spans="1:8">
      <c r="A972" t="s">
        <v>44</v>
      </c>
      <c r="B972" t="s">
        <v>45</v>
      </c>
      <c r="C972" t="s">
        <v>46</v>
      </c>
      <c r="D972" s="4">
        <v>46020</v>
      </c>
      <c r="E972">
        <v>191.1</v>
      </c>
      <c r="F972">
        <v>79.59</v>
      </c>
      <c r="G972">
        <v>111.51</v>
      </c>
      <c r="H972" s="4"/>
    </row>
    <row r="973" spans="1:8">
      <c r="A973" t="s">
        <v>44</v>
      </c>
      <c r="B973" t="s">
        <v>45</v>
      </c>
      <c r="C973" t="s">
        <v>46</v>
      </c>
      <c r="D973" s="4">
        <v>46020</v>
      </c>
      <c r="E973">
        <v>118.1</v>
      </c>
      <c r="F973">
        <v>49.6</v>
      </c>
      <c r="G973">
        <v>68.5</v>
      </c>
      <c r="H973" s="4"/>
    </row>
    <row r="974" spans="1:8">
      <c r="A974" t="s">
        <v>44</v>
      </c>
      <c r="B974" t="s">
        <v>45</v>
      </c>
      <c r="C974" t="s">
        <v>46</v>
      </c>
      <c r="D974" s="4">
        <v>46020</v>
      </c>
      <c r="E974">
        <v>216.1</v>
      </c>
      <c r="F974">
        <v>60.51</v>
      </c>
      <c r="G974">
        <v>155.59</v>
      </c>
      <c r="H974" s="4"/>
    </row>
    <row r="975" spans="1:8">
      <c r="A975" t="s">
        <v>44</v>
      </c>
      <c r="B975" t="s">
        <v>45</v>
      </c>
      <c r="C975" t="s">
        <v>46</v>
      </c>
      <c r="D975" s="4">
        <v>46020</v>
      </c>
      <c r="E975">
        <v>264.19</v>
      </c>
      <c r="F975">
        <v>40</v>
      </c>
      <c r="G975">
        <v>224.19</v>
      </c>
      <c r="H975" s="4"/>
    </row>
    <row r="976" spans="1:8">
      <c r="A976" t="s">
        <v>47</v>
      </c>
      <c r="B976" t="s">
        <v>48</v>
      </c>
      <c r="C976" t="s">
        <v>49</v>
      </c>
      <c r="D976" s="4">
        <v>46003</v>
      </c>
      <c r="E976">
        <v>1580.58</v>
      </c>
      <c r="F976">
        <v>471.14</v>
      </c>
      <c r="G976">
        <v>1109.44</v>
      </c>
      <c r="H976" s="4"/>
    </row>
    <row r="977" spans="1:8">
      <c r="A977" t="s">
        <v>47</v>
      </c>
      <c r="B977" t="s">
        <v>48</v>
      </c>
      <c r="C977" t="s">
        <v>49</v>
      </c>
      <c r="D977" s="4">
        <v>46003</v>
      </c>
      <c r="E977">
        <v>1580.58</v>
      </c>
      <c r="F977">
        <v>122.15</v>
      </c>
      <c r="G977">
        <v>1458.43</v>
      </c>
      <c r="H977" s="4"/>
    </row>
    <row r="978" spans="1:8">
      <c r="A978" t="s">
        <v>47</v>
      </c>
      <c r="B978" t="s">
        <v>48</v>
      </c>
      <c r="C978" t="s">
        <v>49</v>
      </c>
      <c r="D978" s="4">
        <v>46003</v>
      </c>
      <c r="E978">
        <v>1587.45</v>
      </c>
      <c r="F978">
        <v>309.62</v>
      </c>
      <c r="G978">
        <v>1277.83</v>
      </c>
      <c r="H978" s="4"/>
    </row>
    <row r="979" spans="1:8">
      <c r="A979" t="s">
        <v>47</v>
      </c>
      <c r="B979" t="s">
        <v>48</v>
      </c>
      <c r="C979" t="s">
        <v>49</v>
      </c>
      <c r="D979" s="4">
        <v>46003</v>
      </c>
      <c r="E979">
        <v>1580.58</v>
      </c>
      <c r="F979">
        <v>212.3</v>
      </c>
      <c r="G979">
        <v>1368.28</v>
      </c>
      <c r="H979" s="4"/>
    </row>
    <row r="980" spans="1:8">
      <c r="A980" t="s">
        <v>47</v>
      </c>
      <c r="B980" t="s">
        <v>48</v>
      </c>
      <c r="C980" t="s">
        <v>49</v>
      </c>
      <c r="D980" s="4">
        <v>46003</v>
      </c>
      <c r="E980">
        <v>1580.58</v>
      </c>
      <c r="F980">
        <v>383.89</v>
      </c>
      <c r="G980">
        <v>1196.69</v>
      </c>
      <c r="H980" s="4"/>
    </row>
    <row r="981" spans="1:8">
      <c r="A981" t="s">
        <v>47</v>
      </c>
      <c r="B981" t="s">
        <v>48</v>
      </c>
      <c r="C981" t="s">
        <v>49</v>
      </c>
      <c r="D981" s="4">
        <v>46003</v>
      </c>
      <c r="E981">
        <v>1461.1</v>
      </c>
      <c r="F981">
        <v>422.08</v>
      </c>
      <c r="G981">
        <v>1039.02</v>
      </c>
      <c r="H981" s="4"/>
    </row>
    <row r="982" spans="1:8">
      <c r="A982" t="s">
        <v>47</v>
      </c>
      <c r="B982" t="s">
        <v>48</v>
      </c>
      <c r="C982" t="s">
        <v>49</v>
      </c>
      <c r="D982" s="4">
        <v>46003</v>
      </c>
      <c r="E982">
        <v>1580.58</v>
      </c>
      <c r="F982">
        <v>122.15</v>
      </c>
      <c r="G982">
        <v>1458.43</v>
      </c>
      <c r="H982" s="4"/>
    </row>
    <row r="983" spans="1:8">
      <c r="A983" t="s">
        <v>47</v>
      </c>
      <c r="B983" t="s">
        <v>48</v>
      </c>
      <c r="C983" t="s">
        <v>49</v>
      </c>
      <c r="D983" s="4">
        <v>46003</v>
      </c>
      <c r="E983">
        <v>1479.57</v>
      </c>
      <c r="F983">
        <v>427.42</v>
      </c>
      <c r="G983">
        <v>1052.1500000000001</v>
      </c>
      <c r="H983" s="4"/>
    </row>
    <row r="984" spans="1:8">
      <c r="A984" t="s">
        <v>47</v>
      </c>
      <c r="B984" t="s">
        <v>48</v>
      </c>
      <c r="C984" t="s">
        <v>49</v>
      </c>
      <c r="D984" s="4">
        <v>46003</v>
      </c>
      <c r="E984">
        <v>1408.85</v>
      </c>
      <c r="F984">
        <v>178.87</v>
      </c>
      <c r="G984">
        <v>1229.98</v>
      </c>
      <c r="H984" s="4"/>
    </row>
    <row r="985" spans="1:8">
      <c r="A985" t="s">
        <v>47</v>
      </c>
      <c r="B985" t="s">
        <v>48</v>
      </c>
      <c r="C985" t="s">
        <v>49</v>
      </c>
      <c r="D985" s="4">
        <v>46003</v>
      </c>
      <c r="E985">
        <v>1580.58</v>
      </c>
      <c r="F985">
        <v>383.89</v>
      </c>
      <c r="G985">
        <v>1196.69</v>
      </c>
      <c r="H985" s="4"/>
    </row>
    <row r="986" spans="1:8">
      <c r="A986" t="s">
        <v>47</v>
      </c>
      <c r="B986" t="s">
        <v>48</v>
      </c>
      <c r="C986" t="s">
        <v>49</v>
      </c>
      <c r="D986" s="4">
        <v>46003</v>
      </c>
      <c r="E986">
        <v>1587.45</v>
      </c>
      <c r="F986">
        <v>227.83</v>
      </c>
      <c r="G986">
        <v>1359.62</v>
      </c>
      <c r="H986" s="4"/>
    </row>
    <row r="987" spans="1:8">
      <c r="A987" t="s">
        <v>47</v>
      </c>
      <c r="B987" t="s">
        <v>48</v>
      </c>
      <c r="C987" t="s">
        <v>49</v>
      </c>
      <c r="D987" s="4">
        <v>46003</v>
      </c>
      <c r="E987">
        <v>1408.85</v>
      </c>
      <c r="F987">
        <v>251.45</v>
      </c>
      <c r="G987">
        <v>1157.4000000000001</v>
      </c>
      <c r="H987" s="4"/>
    </row>
    <row r="988" spans="1:8">
      <c r="A988" t="s">
        <v>47</v>
      </c>
      <c r="B988" t="s">
        <v>48</v>
      </c>
      <c r="C988" t="s">
        <v>49</v>
      </c>
      <c r="D988" s="4">
        <v>46003</v>
      </c>
      <c r="E988">
        <v>1580.58</v>
      </c>
      <c r="F988">
        <v>293.73</v>
      </c>
      <c r="G988">
        <v>1286.8499999999999</v>
      </c>
      <c r="H988" s="4"/>
    </row>
    <row r="989" spans="1:8">
      <c r="A989" t="s">
        <v>47</v>
      </c>
      <c r="B989" t="s">
        <v>48</v>
      </c>
      <c r="C989" t="s">
        <v>49</v>
      </c>
      <c r="D989" s="4">
        <v>46003</v>
      </c>
      <c r="E989">
        <v>1479.57</v>
      </c>
      <c r="F989">
        <v>100.73</v>
      </c>
      <c r="G989">
        <v>1378.84</v>
      </c>
      <c r="H989" s="4"/>
    </row>
    <row r="990" spans="1:8">
      <c r="A990" t="s">
        <v>47</v>
      </c>
      <c r="B990" t="s">
        <v>48</v>
      </c>
      <c r="C990" t="s">
        <v>49</v>
      </c>
      <c r="D990" s="4">
        <v>46003</v>
      </c>
      <c r="E990">
        <v>1408.85</v>
      </c>
      <c r="F990">
        <v>95.91</v>
      </c>
      <c r="G990">
        <v>1312.94</v>
      </c>
      <c r="H990" s="4"/>
    </row>
    <row r="991" spans="1:8">
      <c r="A991" t="s">
        <v>47</v>
      </c>
      <c r="B991" t="s">
        <v>48</v>
      </c>
      <c r="C991" t="s">
        <v>49</v>
      </c>
      <c r="D991" s="4">
        <v>46003</v>
      </c>
      <c r="E991">
        <v>1408.85</v>
      </c>
      <c r="F991">
        <v>329.22</v>
      </c>
      <c r="G991">
        <v>1079.6300000000001</v>
      </c>
      <c r="H991" s="4"/>
    </row>
    <row r="992" spans="1:8">
      <c r="A992" t="s">
        <v>47</v>
      </c>
      <c r="B992" t="s">
        <v>48</v>
      </c>
      <c r="C992" t="s">
        <v>49</v>
      </c>
      <c r="D992" s="4">
        <v>46003</v>
      </c>
      <c r="E992">
        <v>1461.1</v>
      </c>
      <c r="F992">
        <v>260.77999999999997</v>
      </c>
      <c r="G992">
        <v>1200.32</v>
      </c>
      <c r="H992" s="4"/>
    </row>
    <row r="993" spans="1:8">
      <c r="A993" t="s">
        <v>47</v>
      </c>
      <c r="B993" t="s">
        <v>48</v>
      </c>
      <c r="C993" t="s">
        <v>49</v>
      </c>
      <c r="D993" s="4">
        <v>46003</v>
      </c>
      <c r="E993">
        <v>1461.1</v>
      </c>
      <c r="F993">
        <v>185.5</v>
      </c>
      <c r="G993">
        <v>1275.5999999999999</v>
      </c>
      <c r="H993" s="4"/>
    </row>
    <row r="994" spans="1:8">
      <c r="A994" t="s">
        <v>47</v>
      </c>
      <c r="B994" t="s">
        <v>48</v>
      </c>
      <c r="C994" t="s">
        <v>49</v>
      </c>
      <c r="D994" s="4">
        <v>46003</v>
      </c>
      <c r="E994">
        <v>1408.85</v>
      </c>
      <c r="F994">
        <v>406.99</v>
      </c>
      <c r="G994">
        <v>1001.86</v>
      </c>
      <c r="H994" s="4"/>
    </row>
    <row r="995" spans="1:8">
      <c r="A995" t="s">
        <v>47</v>
      </c>
      <c r="B995" t="s">
        <v>48</v>
      </c>
      <c r="C995" t="s">
        <v>49</v>
      </c>
      <c r="D995" s="4">
        <v>46003</v>
      </c>
      <c r="E995">
        <v>1479.57</v>
      </c>
      <c r="F995">
        <v>345.75</v>
      </c>
      <c r="G995">
        <v>1133.82</v>
      </c>
      <c r="H995" s="4"/>
    </row>
    <row r="996" spans="1:8">
      <c r="A996" t="s">
        <v>47</v>
      </c>
      <c r="B996" t="s">
        <v>48</v>
      </c>
      <c r="C996" t="s">
        <v>49</v>
      </c>
      <c r="D996" s="4">
        <v>46003</v>
      </c>
      <c r="E996">
        <v>1461.1</v>
      </c>
      <c r="F996">
        <v>341.43</v>
      </c>
      <c r="G996">
        <v>1119.67</v>
      </c>
      <c r="H996" s="4"/>
    </row>
    <row r="997" spans="1:8">
      <c r="A997" t="s">
        <v>47</v>
      </c>
      <c r="B997" t="s">
        <v>48</v>
      </c>
      <c r="C997" t="s">
        <v>49</v>
      </c>
      <c r="D997" s="4">
        <v>46003</v>
      </c>
      <c r="E997">
        <v>1587.45</v>
      </c>
      <c r="F997">
        <v>140.19999999999999</v>
      </c>
      <c r="G997">
        <v>1447.25</v>
      </c>
      <c r="H997" s="4"/>
    </row>
    <row r="998" spans="1:8">
      <c r="A998" t="s">
        <v>47</v>
      </c>
      <c r="B998" t="s">
        <v>48</v>
      </c>
      <c r="C998" t="s">
        <v>49</v>
      </c>
      <c r="D998" s="4">
        <v>46003</v>
      </c>
      <c r="E998">
        <v>1580.58</v>
      </c>
      <c r="F998">
        <v>212.3</v>
      </c>
      <c r="G998">
        <v>1368.28</v>
      </c>
      <c r="H998" s="4"/>
    </row>
    <row r="999" spans="1:8">
      <c r="A999" t="s">
        <v>47</v>
      </c>
      <c r="B999" t="s">
        <v>48</v>
      </c>
      <c r="C999" t="s">
        <v>49</v>
      </c>
      <c r="D999" s="4">
        <v>46003</v>
      </c>
      <c r="E999">
        <v>1580.58</v>
      </c>
      <c r="F999">
        <v>471.14</v>
      </c>
      <c r="G999">
        <v>1109.44</v>
      </c>
      <c r="H999" s="4"/>
    </row>
    <row r="1000" spans="1:8">
      <c r="A1000" t="s">
        <v>47</v>
      </c>
      <c r="B1000" t="s">
        <v>48</v>
      </c>
      <c r="C1000" t="s">
        <v>49</v>
      </c>
      <c r="D1000" s="4">
        <v>46003</v>
      </c>
      <c r="E1000">
        <v>1461.1</v>
      </c>
      <c r="F1000">
        <v>99.47</v>
      </c>
      <c r="G1000">
        <v>1361.63</v>
      </c>
      <c r="H1000" s="4"/>
    </row>
    <row r="1001" spans="1:8">
      <c r="A1001" t="s">
        <v>47</v>
      </c>
      <c r="B1001" t="s">
        <v>48</v>
      </c>
      <c r="C1001" t="s">
        <v>49</v>
      </c>
      <c r="D1001" s="4">
        <v>46003</v>
      </c>
      <c r="E1001">
        <v>1479.57</v>
      </c>
      <c r="F1001">
        <v>264.07</v>
      </c>
      <c r="G1001">
        <v>1215.5</v>
      </c>
      <c r="H1001" s="4"/>
    </row>
    <row r="1002" spans="1:8">
      <c r="A1002" t="s">
        <v>47</v>
      </c>
      <c r="B1002" t="s">
        <v>48</v>
      </c>
      <c r="C1002" t="s">
        <v>49</v>
      </c>
      <c r="D1002" s="4">
        <v>46003</v>
      </c>
      <c r="E1002">
        <v>1479.57</v>
      </c>
      <c r="F1002">
        <v>187.85</v>
      </c>
      <c r="G1002">
        <v>1291.72</v>
      </c>
      <c r="H1002" s="4"/>
    </row>
    <row r="1003" spans="1:8">
      <c r="A1003" t="s">
        <v>47</v>
      </c>
      <c r="B1003" t="s">
        <v>48</v>
      </c>
      <c r="C1003" t="s">
        <v>49</v>
      </c>
      <c r="D1003" s="4">
        <v>46003</v>
      </c>
      <c r="E1003">
        <v>1587.5</v>
      </c>
      <c r="F1003">
        <v>406.02</v>
      </c>
      <c r="G1003">
        <v>1181.48</v>
      </c>
      <c r="H1003" s="4"/>
    </row>
    <row r="1004" spans="1:8">
      <c r="A1004" t="s">
        <v>47</v>
      </c>
      <c r="B1004" t="s">
        <v>48</v>
      </c>
      <c r="C1004" t="s">
        <v>49</v>
      </c>
      <c r="D1004" s="4">
        <v>46009</v>
      </c>
      <c r="E1004">
        <v>2998.1</v>
      </c>
      <c r="F1004">
        <v>335.79</v>
      </c>
      <c r="G1004">
        <v>2662.31</v>
      </c>
      <c r="H1004" s="4"/>
    </row>
    <row r="1005" spans="1:8">
      <c r="A1005" t="s">
        <v>50</v>
      </c>
      <c r="B1005" t="s">
        <v>51</v>
      </c>
      <c r="C1005" t="s">
        <v>52</v>
      </c>
      <c r="D1005" s="4">
        <v>46008</v>
      </c>
      <c r="E1005">
        <v>479.09</v>
      </c>
      <c r="F1005">
        <v>139.18</v>
      </c>
      <c r="G1005">
        <v>339.91</v>
      </c>
      <c r="H1005" s="4"/>
    </row>
    <row r="1006" spans="1:8">
      <c r="A1006" t="s">
        <v>50</v>
      </c>
      <c r="B1006" t="s">
        <v>51</v>
      </c>
      <c r="C1006" t="s">
        <v>52</v>
      </c>
      <c r="D1006" s="4">
        <v>46008</v>
      </c>
      <c r="E1006">
        <v>452.64</v>
      </c>
      <c r="F1006">
        <v>207.54</v>
      </c>
      <c r="G1006">
        <v>245.1</v>
      </c>
      <c r="H1006" s="4"/>
    </row>
    <row r="1007" spans="1:8">
      <c r="A1007" t="s">
        <v>50</v>
      </c>
      <c r="B1007" t="s">
        <v>51</v>
      </c>
      <c r="C1007" t="s">
        <v>52</v>
      </c>
      <c r="D1007" s="4">
        <v>46008</v>
      </c>
      <c r="E1007">
        <v>594.53</v>
      </c>
      <c r="F1007">
        <v>114.45</v>
      </c>
      <c r="G1007">
        <v>480.08</v>
      </c>
      <c r="H1007" s="4"/>
    </row>
    <row r="1008" spans="1:8">
      <c r="A1008" t="s">
        <v>50</v>
      </c>
      <c r="B1008" t="s">
        <v>51</v>
      </c>
      <c r="C1008" t="s">
        <v>52</v>
      </c>
      <c r="D1008" s="4">
        <v>46008</v>
      </c>
      <c r="E1008">
        <v>452.64</v>
      </c>
      <c r="F1008">
        <v>253.48</v>
      </c>
      <c r="G1008">
        <v>199.16</v>
      </c>
      <c r="H1008" s="4"/>
    </row>
    <row r="1009" spans="1:8">
      <c r="A1009" t="s">
        <v>50</v>
      </c>
      <c r="B1009" t="s">
        <v>51</v>
      </c>
      <c r="C1009" t="s">
        <v>52</v>
      </c>
      <c r="D1009" s="4">
        <v>46008</v>
      </c>
      <c r="E1009">
        <v>553.73</v>
      </c>
      <c r="F1009">
        <v>191.87</v>
      </c>
      <c r="G1009">
        <v>361.86</v>
      </c>
      <c r="H1009" s="4"/>
    </row>
    <row r="1010" spans="1:8">
      <c r="A1010" t="s">
        <v>50</v>
      </c>
      <c r="B1010" t="s">
        <v>51</v>
      </c>
      <c r="C1010" t="s">
        <v>52</v>
      </c>
      <c r="D1010" s="4">
        <v>46008</v>
      </c>
      <c r="E1010">
        <v>594.53</v>
      </c>
      <c r="F1010">
        <v>237.22</v>
      </c>
      <c r="G1010">
        <v>357.31</v>
      </c>
      <c r="H1010" s="4"/>
    </row>
    <row r="1011" spans="1:8">
      <c r="A1011" t="s">
        <v>50</v>
      </c>
      <c r="B1011" t="s">
        <v>51</v>
      </c>
      <c r="C1011" t="s">
        <v>52</v>
      </c>
      <c r="D1011" s="4">
        <v>46008</v>
      </c>
      <c r="E1011">
        <v>594.53</v>
      </c>
      <c r="F1011">
        <v>172.71</v>
      </c>
      <c r="G1011">
        <v>421.82</v>
      </c>
      <c r="H1011" s="4"/>
    </row>
    <row r="1012" spans="1:8">
      <c r="A1012" t="s">
        <v>50</v>
      </c>
      <c r="B1012" t="s">
        <v>51</v>
      </c>
      <c r="C1012" t="s">
        <v>52</v>
      </c>
      <c r="D1012" s="4">
        <v>46008</v>
      </c>
      <c r="E1012">
        <v>553.73</v>
      </c>
      <c r="F1012">
        <v>77.52</v>
      </c>
      <c r="G1012">
        <v>476.21</v>
      </c>
      <c r="H1012" s="4"/>
    </row>
    <row r="1013" spans="1:8">
      <c r="A1013" t="s">
        <v>50</v>
      </c>
      <c r="B1013" t="s">
        <v>51</v>
      </c>
      <c r="C1013" t="s">
        <v>52</v>
      </c>
      <c r="D1013" s="4">
        <v>46008</v>
      </c>
      <c r="E1013">
        <v>557.5</v>
      </c>
      <c r="F1013">
        <v>257.57</v>
      </c>
      <c r="G1013">
        <v>299.93</v>
      </c>
      <c r="H1013" s="4"/>
    </row>
    <row r="1014" spans="1:8">
      <c r="A1014" t="s">
        <v>50</v>
      </c>
      <c r="B1014" t="s">
        <v>51</v>
      </c>
      <c r="C1014" t="s">
        <v>52</v>
      </c>
      <c r="D1014" s="4">
        <v>46008</v>
      </c>
      <c r="E1014">
        <v>452.64</v>
      </c>
      <c r="F1014">
        <v>156.84</v>
      </c>
      <c r="G1014">
        <v>295.8</v>
      </c>
      <c r="H1014" s="4"/>
    </row>
    <row r="1015" spans="1:8">
      <c r="A1015" t="s">
        <v>50</v>
      </c>
      <c r="B1015" t="s">
        <v>51</v>
      </c>
      <c r="C1015" t="s">
        <v>52</v>
      </c>
      <c r="D1015" s="4">
        <v>46008</v>
      </c>
      <c r="E1015">
        <v>323.07</v>
      </c>
      <c r="F1015">
        <v>111.94</v>
      </c>
      <c r="G1015">
        <v>211.13</v>
      </c>
      <c r="H1015" s="4"/>
    </row>
    <row r="1016" spans="1:8">
      <c r="A1016" t="s">
        <v>50</v>
      </c>
      <c r="B1016" t="s">
        <v>51</v>
      </c>
      <c r="C1016" t="s">
        <v>52</v>
      </c>
      <c r="D1016" s="4">
        <v>46008</v>
      </c>
      <c r="E1016">
        <v>563.32000000000005</v>
      </c>
      <c r="F1016">
        <v>108.44</v>
      </c>
      <c r="G1016">
        <v>454.88</v>
      </c>
      <c r="H1016" s="4"/>
    </row>
    <row r="1017" spans="1:8">
      <c r="A1017" t="s">
        <v>50</v>
      </c>
      <c r="B1017" t="s">
        <v>51</v>
      </c>
      <c r="C1017" t="s">
        <v>52</v>
      </c>
      <c r="D1017" s="4">
        <v>46008</v>
      </c>
      <c r="E1017">
        <v>323.19</v>
      </c>
      <c r="F1017">
        <v>80.31</v>
      </c>
      <c r="G1017">
        <v>242.88</v>
      </c>
      <c r="H1017" s="4"/>
    </row>
    <row r="1018" spans="1:8">
      <c r="A1018" t="s">
        <v>50</v>
      </c>
      <c r="B1018" t="s">
        <v>51</v>
      </c>
      <c r="C1018" t="s">
        <v>52</v>
      </c>
      <c r="D1018" s="4">
        <v>46008</v>
      </c>
      <c r="E1018">
        <v>414.77</v>
      </c>
      <c r="F1018">
        <v>119.04</v>
      </c>
      <c r="G1018">
        <v>295.73</v>
      </c>
      <c r="H1018" s="4"/>
    </row>
    <row r="1019" spans="1:8">
      <c r="A1019" t="s">
        <v>50</v>
      </c>
      <c r="B1019" t="s">
        <v>51</v>
      </c>
      <c r="C1019" t="s">
        <v>52</v>
      </c>
      <c r="D1019" s="4">
        <v>46008</v>
      </c>
      <c r="E1019">
        <v>1076.23</v>
      </c>
      <c r="F1019">
        <v>244.84</v>
      </c>
      <c r="G1019">
        <v>831.39</v>
      </c>
      <c r="H1019" s="4"/>
    </row>
    <row r="1020" spans="1:8">
      <c r="A1020" t="s">
        <v>50</v>
      </c>
      <c r="B1020" t="s">
        <v>51</v>
      </c>
      <c r="C1020" t="s">
        <v>52</v>
      </c>
      <c r="D1020" s="4">
        <v>46008</v>
      </c>
      <c r="E1020">
        <v>467.49</v>
      </c>
      <c r="F1020">
        <v>88.36</v>
      </c>
      <c r="G1020">
        <v>379.13</v>
      </c>
      <c r="H1020" s="4"/>
    </row>
    <row r="1021" spans="1:8">
      <c r="A1021" t="s">
        <v>50</v>
      </c>
      <c r="B1021" t="s">
        <v>51</v>
      </c>
      <c r="C1021" t="s">
        <v>52</v>
      </c>
      <c r="D1021" s="4">
        <v>46008</v>
      </c>
      <c r="E1021">
        <v>557.5</v>
      </c>
      <c r="F1021">
        <v>81.95</v>
      </c>
      <c r="G1021">
        <v>475.55</v>
      </c>
      <c r="H1021" s="4"/>
    </row>
    <row r="1022" spans="1:8">
      <c r="A1022" t="s">
        <v>50</v>
      </c>
      <c r="B1022" t="s">
        <v>51</v>
      </c>
      <c r="C1022" t="s">
        <v>52</v>
      </c>
      <c r="D1022" s="4">
        <v>46008</v>
      </c>
      <c r="E1022">
        <v>427.33</v>
      </c>
      <c r="F1022">
        <v>133.11000000000001</v>
      </c>
      <c r="G1022">
        <v>294.22000000000003</v>
      </c>
      <c r="H1022" s="4"/>
    </row>
    <row r="1023" spans="1:8">
      <c r="A1023" t="s">
        <v>50</v>
      </c>
      <c r="B1023" t="s">
        <v>51</v>
      </c>
      <c r="C1023" t="s">
        <v>52</v>
      </c>
      <c r="D1023" s="4">
        <v>46008</v>
      </c>
      <c r="E1023">
        <v>467.49</v>
      </c>
      <c r="F1023">
        <v>134.16999999999999</v>
      </c>
      <c r="G1023">
        <v>333.32</v>
      </c>
      <c r="H1023" s="4"/>
    </row>
    <row r="1024" spans="1:8">
      <c r="A1024" t="s">
        <v>50</v>
      </c>
      <c r="B1024" t="s">
        <v>51</v>
      </c>
      <c r="C1024" t="s">
        <v>52</v>
      </c>
      <c r="D1024" s="4">
        <v>46008</v>
      </c>
      <c r="E1024">
        <v>754.21</v>
      </c>
      <c r="F1024">
        <v>145.19</v>
      </c>
      <c r="G1024">
        <v>609.02</v>
      </c>
      <c r="H1024" s="4"/>
    </row>
    <row r="1025" spans="1:8">
      <c r="A1025" t="s">
        <v>50</v>
      </c>
      <c r="B1025" t="s">
        <v>51</v>
      </c>
      <c r="C1025" t="s">
        <v>52</v>
      </c>
      <c r="D1025" s="4">
        <v>46008</v>
      </c>
      <c r="E1025">
        <v>1076.23</v>
      </c>
      <c r="F1025">
        <v>350.31</v>
      </c>
      <c r="G1025">
        <v>725.92</v>
      </c>
      <c r="H1025" s="4"/>
    </row>
    <row r="1026" spans="1:8">
      <c r="A1026" t="s">
        <v>50</v>
      </c>
      <c r="B1026" t="s">
        <v>51</v>
      </c>
      <c r="C1026" t="s">
        <v>52</v>
      </c>
      <c r="D1026" s="4">
        <v>46008</v>
      </c>
      <c r="E1026">
        <v>435.6</v>
      </c>
      <c r="F1026">
        <v>169.23</v>
      </c>
      <c r="G1026">
        <v>266.37</v>
      </c>
      <c r="H1026" s="4"/>
    </row>
    <row r="1027" spans="1:8">
      <c r="A1027" t="s">
        <v>50</v>
      </c>
      <c r="B1027" t="s">
        <v>51</v>
      </c>
      <c r="C1027" t="s">
        <v>52</v>
      </c>
      <c r="D1027" s="4">
        <v>46008</v>
      </c>
      <c r="E1027">
        <v>1076.1500000000001</v>
      </c>
      <c r="F1027">
        <v>467.05</v>
      </c>
      <c r="G1027">
        <v>609.1</v>
      </c>
      <c r="H1027" s="4"/>
    </row>
    <row r="1028" spans="1:8">
      <c r="A1028" t="s">
        <v>50</v>
      </c>
      <c r="B1028" t="s">
        <v>51</v>
      </c>
      <c r="C1028" t="s">
        <v>52</v>
      </c>
      <c r="D1028" s="4">
        <v>46008</v>
      </c>
      <c r="E1028">
        <v>768.07</v>
      </c>
      <c r="F1028">
        <v>306.45999999999998</v>
      </c>
      <c r="G1028">
        <v>461.61</v>
      </c>
      <c r="H1028" s="4"/>
    </row>
    <row r="1029" spans="1:8">
      <c r="A1029" t="s">
        <v>50</v>
      </c>
      <c r="B1029" t="s">
        <v>51</v>
      </c>
      <c r="C1029" t="s">
        <v>52</v>
      </c>
      <c r="D1029" s="4">
        <v>46008</v>
      </c>
      <c r="E1029">
        <v>563.32000000000005</v>
      </c>
      <c r="F1029">
        <v>163.63999999999999</v>
      </c>
      <c r="G1029">
        <v>399.68</v>
      </c>
      <c r="H1029" s="4"/>
    </row>
    <row r="1030" spans="1:8">
      <c r="A1030" t="s">
        <v>50</v>
      </c>
      <c r="B1030" t="s">
        <v>51</v>
      </c>
      <c r="C1030" t="s">
        <v>52</v>
      </c>
      <c r="D1030" s="4">
        <v>46008</v>
      </c>
      <c r="E1030">
        <v>557.5</v>
      </c>
      <c r="F1030">
        <v>200.98</v>
      </c>
      <c r="G1030">
        <v>356.52</v>
      </c>
      <c r="H1030" s="4"/>
    </row>
    <row r="1031" spans="1:8">
      <c r="A1031" t="s">
        <v>50</v>
      </c>
      <c r="B1031" t="s">
        <v>51</v>
      </c>
      <c r="C1031" t="s">
        <v>52</v>
      </c>
      <c r="D1031" s="4">
        <v>46008</v>
      </c>
      <c r="E1031">
        <v>468.32</v>
      </c>
      <c r="F1031">
        <v>134.41</v>
      </c>
      <c r="G1031">
        <v>333.91</v>
      </c>
      <c r="H1031" s="4"/>
    </row>
    <row r="1032" spans="1:8">
      <c r="A1032" t="s">
        <v>50</v>
      </c>
      <c r="B1032" t="s">
        <v>51</v>
      </c>
      <c r="C1032" t="s">
        <v>52</v>
      </c>
      <c r="D1032" s="4">
        <v>46008</v>
      </c>
      <c r="E1032">
        <v>553.73</v>
      </c>
      <c r="F1032">
        <v>137.6</v>
      </c>
      <c r="G1032">
        <v>416.13</v>
      </c>
      <c r="H1032" s="4"/>
    </row>
    <row r="1033" spans="1:8">
      <c r="A1033" t="s">
        <v>50</v>
      </c>
      <c r="B1033" t="s">
        <v>51</v>
      </c>
      <c r="C1033" t="s">
        <v>52</v>
      </c>
      <c r="D1033" s="4">
        <v>46008</v>
      </c>
      <c r="E1033">
        <v>768.09</v>
      </c>
      <c r="F1033">
        <v>223.13</v>
      </c>
      <c r="G1033">
        <v>544.96</v>
      </c>
      <c r="H1033" s="4"/>
    </row>
    <row r="1034" spans="1:8">
      <c r="A1034" t="s">
        <v>50</v>
      </c>
      <c r="B1034" t="s">
        <v>51</v>
      </c>
      <c r="C1034" t="s">
        <v>52</v>
      </c>
      <c r="D1034" s="4">
        <v>46008</v>
      </c>
      <c r="E1034">
        <v>711.68</v>
      </c>
      <c r="F1034">
        <v>141.97999999999999</v>
      </c>
      <c r="G1034">
        <v>569.70000000000005</v>
      </c>
      <c r="H1034" s="4"/>
    </row>
    <row r="1035" spans="1:8">
      <c r="A1035" t="s">
        <v>50</v>
      </c>
      <c r="B1035" t="s">
        <v>51</v>
      </c>
      <c r="C1035" t="s">
        <v>52</v>
      </c>
      <c r="D1035" s="4">
        <v>46008</v>
      </c>
      <c r="E1035">
        <v>467.49</v>
      </c>
      <c r="F1035">
        <v>184.89</v>
      </c>
      <c r="G1035">
        <v>282.60000000000002</v>
      </c>
      <c r="H1035" s="4"/>
    </row>
    <row r="1036" spans="1:8">
      <c r="A1036" t="s">
        <v>50</v>
      </c>
      <c r="B1036" t="s">
        <v>51</v>
      </c>
      <c r="C1036" t="s">
        <v>52</v>
      </c>
      <c r="D1036" s="4">
        <v>46008</v>
      </c>
      <c r="E1036">
        <v>1076.23</v>
      </c>
      <c r="F1036">
        <v>128.07</v>
      </c>
      <c r="G1036">
        <v>948.16</v>
      </c>
      <c r="H1036" s="4"/>
    </row>
    <row r="1037" spans="1:8">
      <c r="A1037" t="s">
        <v>50</v>
      </c>
      <c r="B1037" t="s">
        <v>51</v>
      </c>
      <c r="C1037" t="s">
        <v>52</v>
      </c>
      <c r="D1037" s="4">
        <v>46008</v>
      </c>
      <c r="E1037">
        <v>855.65</v>
      </c>
      <c r="F1037">
        <v>374.35</v>
      </c>
      <c r="G1037">
        <v>481.3</v>
      </c>
      <c r="H1037" s="4"/>
    </row>
    <row r="1038" spans="1:8">
      <c r="A1038" t="s">
        <v>50</v>
      </c>
      <c r="B1038" t="s">
        <v>51</v>
      </c>
      <c r="C1038" t="s">
        <v>52</v>
      </c>
      <c r="D1038" s="4">
        <v>46008</v>
      </c>
      <c r="E1038">
        <v>692.48</v>
      </c>
      <c r="F1038">
        <v>138.15</v>
      </c>
      <c r="G1038">
        <v>554.33000000000004</v>
      </c>
      <c r="H1038" s="4"/>
    </row>
    <row r="1039" spans="1:8">
      <c r="A1039" t="s">
        <v>50</v>
      </c>
      <c r="B1039" t="s">
        <v>51</v>
      </c>
      <c r="C1039" t="s">
        <v>52</v>
      </c>
      <c r="D1039" s="4">
        <v>46008</v>
      </c>
      <c r="E1039">
        <v>855.58</v>
      </c>
      <c r="F1039">
        <v>287.47000000000003</v>
      </c>
      <c r="G1039">
        <v>568.11</v>
      </c>
      <c r="H1039" s="4"/>
    </row>
    <row r="1040" spans="1:8">
      <c r="A1040" t="s">
        <v>50</v>
      </c>
      <c r="B1040" t="s">
        <v>51</v>
      </c>
      <c r="C1040" t="s">
        <v>52</v>
      </c>
      <c r="D1040" s="4">
        <v>46008</v>
      </c>
      <c r="E1040">
        <v>563.32000000000005</v>
      </c>
      <c r="F1040">
        <v>224.76</v>
      </c>
      <c r="G1040">
        <v>338.56</v>
      </c>
      <c r="H1040" s="4"/>
    </row>
    <row r="1041" spans="1:8">
      <c r="A1041" t="s">
        <v>50</v>
      </c>
      <c r="B1041" t="s">
        <v>51</v>
      </c>
      <c r="C1041" t="s">
        <v>52</v>
      </c>
      <c r="D1041" s="4">
        <v>46008</v>
      </c>
      <c r="E1041">
        <v>754.21</v>
      </c>
      <c r="F1041">
        <v>219.1</v>
      </c>
      <c r="G1041">
        <v>535.11</v>
      </c>
      <c r="H1041" s="4"/>
    </row>
    <row r="1042" spans="1:8">
      <c r="A1042" t="s">
        <v>50</v>
      </c>
      <c r="B1042" t="s">
        <v>51</v>
      </c>
      <c r="C1042" t="s">
        <v>52</v>
      </c>
      <c r="D1042" s="4">
        <v>46008</v>
      </c>
      <c r="E1042">
        <v>400.32</v>
      </c>
      <c r="F1042">
        <v>156.93</v>
      </c>
      <c r="G1042">
        <v>243.39</v>
      </c>
      <c r="H1042" s="4"/>
    </row>
    <row r="1043" spans="1:8">
      <c r="A1043" t="s">
        <v>50</v>
      </c>
      <c r="B1043" t="s">
        <v>51</v>
      </c>
      <c r="C1043" t="s">
        <v>52</v>
      </c>
      <c r="D1043" s="4">
        <v>46008</v>
      </c>
      <c r="E1043">
        <v>553.63</v>
      </c>
      <c r="F1043">
        <v>310.02999999999997</v>
      </c>
      <c r="G1043">
        <v>243.6</v>
      </c>
      <c r="H1043" s="4"/>
    </row>
    <row r="1044" spans="1:8">
      <c r="A1044" t="s">
        <v>50</v>
      </c>
      <c r="B1044" t="s">
        <v>51</v>
      </c>
      <c r="C1044" t="s">
        <v>52</v>
      </c>
      <c r="D1044" s="4">
        <v>46008</v>
      </c>
      <c r="E1044">
        <v>435.6</v>
      </c>
      <c r="F1044">
        <v>125.02</v>
      </c>
      <c r="G1044">
        <v>310.58</v>
      </c>
      <c r="H1044" s="4"/>
    </row>
    <row r="1045" spans="1:8">
      <c r="A1045" t="s">
        <v>50</v>
      </c>
      <c r="B1045" t="s">
        <v>51</v>
      </c>
      <c r="C1045" t="s">
        <v>52</v>
      </c>
      <c r="D1045" s="4">
        <v>46008</v>
      </c>
      <c r="E1045">
        <v>400.32</v>
      </c>
      <c r="F1045">
        <v>114.89</v>
      </c>
      <c r="G1045">
        <v>285.43</v>
      </c>
      <c r="H1045" s="4"/>
    </row>
    <row r="1046" spans="1:8">
      <c r="A1046" t="s">
        <v>50</v>
      </c>
      <c r="B1046" t="s">
        <v>51</v>
      </c>
      <c r="C1046" t="s">
        <v>52</v>
      </c>
      <c r="D1046" s="4">
        <v>46008</v>
      </c>
      <c r="E1046">
        <v>855.58</v>
      </c>
      <c r="F1046">
        <v>203.63</v>
      </c>
      <c r="G1046">
        <v>651.95000000000005</v>
      </c>
      <c r="H1046" s="4"/>
    </row>
    <row r="1047" spans="1:8">
      <c r="A1047" t="s">
        <v>50</v>
      </c>
      <c r="B1047" t="s">
        <v>51</v>
      </c>
      <c r="C1047" t="s">
        <v>52</v>
      </c>
      <c r="D1047" s="4">
        <v>46008</v>
      </c>
      <c r="E1047">
        <v>557.5</v>
      </c>
      <c r="F1047">
        <v>146.34</v>
      </c>
      <c r="G1047">
        <v>411.16</v>
      </c>
      <c r="H1047" s="4"/>
    </row>
    <row r="1048" spans="1:8">
      <c r="A1048" t="s">
        <v>50</v>
      </c>
      <c r="B1048" t="s">
        <v>51</v>
      </c>
      <c r="C1048" t="s">
        <v>52</v>
      </c>
      <c r="D1048" s="4">
        <v>46008</v>
      </c>
      <c r="E1048">
        <v>553.73</v>
      </c>
      <c r="F1048">
        <v>253.89</v>
      </c>
      <c r="G1048">
        <v>299.83999999999997</v>
      </c>
      <c r="H1048" s="4"/>
    </row>
    <row r="1049" spans="1:8">
      <c r="A1049" t="s">
        <v>50</v>
      </c>
      <c r="B1049" t="s">
        <v>51</v>
      </c>
      <c r="C1049" t="s">
        <v>52</v>
      </c>
      <c r="D1049" s="4">
        <v>46008</v>
      </c>
      <c r="E1049">
        <v>452.64</v>
      </c>
      <c r="F1049">
        <v>112.48</v>
      </c>
      <c r="G1049">
        <v>340.16</v>
      </c>
      <c r="H1049" s="4"/>
    </row>
    <row r="1050" spans="1:8">
      <c r="A1050" t="s">
        <v>50</v>
      </c>
      <c r="B1050" t="s">
        <v>51</v>
      </c>
      <c r="C1050" t="s">
        <v>52</v>
      </c>
      <c r="D1050" s="4">
        <v>46008</v>
      </c>
      <c r="E1050">
        <v>578.58000000000004</v>
      </c>
      <c r="F1050">
        <v>109.35</v>
      </c>
      <c r="G1050">
        <v>469.23</v>
      </c>
      <c r="H1050" s="4"/>
    </row>
    <row r="1051" spans="1:8">
      <c r="A1051" t="s">
        <v>50</v>
      </c>
      <c r="B1051" t="s">
        <v>51</v>
      </c>
      <c r="C1051" t="s">
        <v>52</v>
      </c>
      <c r="D1051" s="4">
        <v>46008</v>
      </c>
      <c r="E1051">
        <v>323.07</v>
      </c>
      <c r="F1051">
        <v>45.23</v>
      </c>
      <c r="G1051">
        <v>277.83999999999997</v>
      </c>
      <c r="H1051" s="4"/>
    </row>
    <row r="1052" spans="1:8">
      <c r="A1052" t="s">
        <v>50</v>
      </c>
      <c r="B1052" t="s">
        <v>51</v>
      </c>
      <c r="C1052" t="s">
        <v>52</v>
      </c>
      <c r="D1052" s="4">
        <v>46008</v>
      </c>
      <c r="E1052">
        <v>855.58</v>
      </c>
      <c r="F1052">
        <v>104.81</v>
      </c>
      <c r="G1052">
        <v>750.77</v>
      </c>
      <c r="H1052" s="4"/>
    </row>
    <row r="1053" spans="1:8">
      <c r="A1053" t="s">
        <v>50</v>
      </c>
      <c r="B1053" t="s">
        <v>51</v>
      </c>
      <c r="C1053" t="s">
        <v>52</v>
      </c>
      <c r="D1053" s="4">
        <v>46008</v>
      </c>
      <c r="E1053">
        <v>413.31</v>
      </c>
      <c r="F1053">
        <v>121.51</v>
      </c>
      <c r="G1053">
        <v>291.8</v>
      </c>
      <c r="H1053" s="4"/>
    </row>
    <row r="1054" spans="1:8">
      <c r="A1054" t="s">
        <v>50</v>
      </c>
      <c r="B1054" t="s">
        <v>51</v>
      </c>
      <c r="C1054" t="s">
        <v>52</v>
      </c>
      <c r="D1054" s="4">
        <v>46008</v>
      </c>
      <c r="E1054">
        <v>468.32</v>
      </c>
      <c r="F1054">
        <v>183.58</v>
      </c>
      <c r="G1054">
        <v>284.74</v>
      </c>
      <c r="H1054" s="4"/>
    </row>
    <row r="1055" spans="1:8">
      <c r="A1055" t="s">
        <v>50</v>
      </c>
      <c r="B1055" t="s">
        <v>51</v>
      </c>
      <c r="C1055" t="s">
        <v>52</v>
      </c>
      <c r="D1055" s="4">
        <v>46008</v>
      </c>
      <c r="E1055">
        <v>768.09</v>
      </c>
      <c r="F1055">
        <v>145.16999999999999</v>
      </c>
      <c r="G1055">
        <v>622.91999999999996</v>
      </c>
      <c r="H1055" s="4"/>
    </row>
    <row r="1056" spans="1:8">
      <c r="A1056" t="s">
        <v>50</v>
      </c>
      <c r="B1056" t="s">
        <v>51</v>
      </c>
      <c r="C1056" t="s">
        <v>52</v>
      </c>
      <c r="D1056" s="4">
        <v>46008</v>
      </c>
      <c r="E1056">
        <v>452.64</v>
      </c>
      <c r="F1056">
        <v>63.37</v>
      </c>
      <c r="G1056">
        <v>389.27</v>
      </c>
      <c r="H1056" s="4"/>
    </row>
    <row r="1057" spans="1:8">
      <c r="A1057" t="s">
        <v>53</v>
      </c>
      <c r="B1057" t="s">
        <v>54</v>
      </c>
      <c r="C1057" t="s">
        <v>55</v>
      </c>
      <c r="D1057" s="4">
        <v>46013</v>
      </c>
      <c r="E1057">
        <v>498.1</v>
      </c>
      <c r="F1057">
        <v>76.709999999999994</v>
      </c>
      <c r="G1057">
        <v>421.39</v>
      </c>
      <c r="H1057" s="4"/>
    </row>
    <row r="1058" spans="1:8">
      <c r="A1058" t="s">
        <v>53</v>
      </c>
      <c r="B1058" t="s">
        <v>54</v>
      </c>
      <c r="C1058" t="s">
        <v>55</v>
      </c>
      <c r="D1058" s="4">
        <v>46013</v>
      </c>
      <c r="E1058">
        <v>2127.27</v>
      </c>
      <c r="F1058">
        <v>595.64</v>
      </c>
      <c r="G1058">
        <v>1531.63</v>
      </c>
      <c r="H1058" s="4"/>
    </row>
    <row r="1059" spans="1:8">
      <c r="A1059" t="s">
        <v>53</v>
      </c>
      <c r="B1059" t="s">
        <v>54</v>
      </c>
      <c r="C1059" t="s">
        <v>55</v>
      </c>
      <c r="D1059" s="4">
        <v>46013</v>
      </c>
      <c r="E1059">
        <v>885.6</v>
      </c>
      <c r="F1059">
        <v>247.97</v>
      </c>
      <c r="G1059">
        <v>637.63</v>
      </c>
      <c r="H1059" s="4"/>
    </row>
    <row r="1060" spans="1:8">
      <c r="A1060" t="s">
        <v>53</v>
      </c>
      <c r="B1060" t="s">
        <v>54</v>
      </c>
      <c r="C1060" t="s">
        <v>55</v>
      </c>
      <c r="D1060" s="4">
        <v>46013</v>
      </c>
      <c r="E1060">
        <v>1213.0999999999999</v>
      </c>
      <c r="F1060">
        <v>140.11000000000001</v>
      </c>
      <c r="G1060">
        <v>1072.99</v>
      </c>
      <c r="H1060" s="4"/>
    </row>
    <row r="1061" spans="1:8">
      <c r="A1061" t="s">
        <v>53</v>
      </c>
      <c r="B1061" t="s">
        <v>54</v>
      </c>
      <c r="C1061" t="s">
        <v>55</v>
      </c>
      <c r="D1061" s="4">
        <v>46013</v>
      </c>
      <c r="E1061">
        <v>686.1</v>
      </c>
      <c r="F1061">
        <v>124.87</v>
      </c>
      <c r="G1061">
        <v>561.23</v>
      </c>
      <c r="H1061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A8B1-BDB6-475E-95CA-B6BD4F28E5F0}">
  <dimension ref="B2:I83"/>
  <sheetViews>
    <sheetView showGridLines="0" topLeftCell="A62" workbookViewId="0">
      <selection activeCell="A69" sqref="A69:XFD69"/>
    </sheetView>
  </sheetViews>
  <sheetFormatPr defaultRowHeight="13.9"/>
  <cols>
    <col min="1" max="1" width="4" customWidth="1"/>
    <col min="2" max="2" width="9.5703125" style="2" bestFit="1" customWidth="1"/>
    <col min="3" max="3" width="19.140625" style="2" bestFit="1" customWidth="1"/>
    <col min="4" max="4" width="15.7109375" style="13" bestFit="1" customWidth="1"/>
    <col min="5" max="5" width="12.7109375" style="1" bestFit="1" customWidth="1"/>
    <col min="6" max="6" width="11.28515625" style="3" bestFit="1" customWidth="1"/>
    <col min="7" max="7" width="13.5703125" style="3" bestFit="1" customWidth="1"/>
    <col min="8" max="8" width="17.42578125" style="3" bestFit="1" customWidth="1"/>
    <col min="9" max="9" width="13.7109375" style="2" bestFit="1" customWidth="1"/>
  </cols>
  <sheetData>
    <row r="2" spans="2:9">
      <c r="B2" s="9" t="s">
        <v>56</v>
      </c>
      <c r="C2" s="9" t="s">
        <v>0</v>
      </c>
      <c r="D2" s="17" t="s">
        <v>57</v>
      </c>
      <c r="E2" s="10" t="s">
        <v>58</v>
      </c>
      <c r="F2" s="9" t="s">
        <v>59</v>
      </c>
      <c r="G2" s="9" t="s">
        <v>60</v>
      </c>
      <c r="H2" s="9" t="s">
        <v>61</v>
      </c>
      <c r="I2" s="9" t="s">
        <v>62</v>
      </c>
    </row>
    <row r="3" spans="2:9">
      <c r="B3" s="2">
        <v>19387</v>
      </c>
      <c r="C3" s="2" t="s">
        <v>63</v>
      </c>
      <c r="D3" s="13">
        <f>VLOOKUP(C3,BD!$A:$F,6,FALSE)</f>
        <v>5075.66</v>
      </c>
      <c r="E3" s="13">
        <f>IF(D3&gt;100000,100000,D3)</f>
        <v>5075.66</v>
      </c>
      <c r="F3" s="5">
        <f>SUMIFS('results'!$E:$E,'results'!$A:$A,'Controle Odonto Limites'!C3)</f>
        <v>0</v>
      </c>
      <c r="G3" s="6">
        <f>SUMIFS('results'!$E:$E,'results'!$A:$A,'Controle Odonto Limites'!C3,results!$H:$H,"&gt;0")</f>
        <v>0</v>
      </c>
      <c r="H3" s="16">
        <f>E3-F3+G3</f>
        <v>5075.66</v>
      </c>
      <c r="I3" s="8">
        <f>H3/E3</f>
        <v>1</v>
      </c>
    </row>
    <row r="4" spans="2:9">
      <c r="B4" s="2">
        <v>9727</v>
      </c>
      <c r="C4" s="2" t="s">
        <v>64</v>
      </c>
      <c r="D4" s="13">
        <f>VLOOKUP(C4,BD!$A:$F,6,FALSE)</f>
        <v>5207.9399999999996</v>
      </c>
      <c r="E4" s="13">
        <f t="shared" ref="E4:E67" si="0">IF(D4&gt;100000,100000,D4)</f>
        <v>5207.9399999999996</v>
      </c>
      <c r="F4" s="5">
        <f>SUMIFS('results'!$E:$E,'results'!$A:$A,'Controle Odonto Limites'!C4)</f>
        <v>0</v>
      </c>
      <c r="G4" s="6">
        <f>SUMIFS('results'!$E:$E,'results'!$A:$A,'Controle Odonto Limites'!C4,results!$H:$H,"&gt;0")</f>
        <v>0</v>
      </c>
      <c r="H4" s="16">
        <f t="shared" ref="H4:H67" si="1">E4-F4+G4</f>
        <v>5207.9399999999996</v>
      </c>
      <c r="I4" s="8">
        <f t="shared" ref="I4:I67" si="2">H4/E4</f>
        <v>1</v>
      </c>
    </row>
    <row r="5" spans="2:9">
      <c r="B5" s="2">
        <v>10244</v>
      </c>
      <c r="C5" s="2" t="s">
        <v>65</v>
      </c>
      <c r="D5" s="13">
        <f>VLOOKUP(C5,BD!$A:$F,6,FALSE)</f>
        <v>10592.43</v>
      </c>
      <c r="E5" s="13">
        <f t="shared" si="0"/>
        <v>10592.43</v>
      </c>
      <c r="F5" s="5">
        <f>SUMIFS('results'!$E:$E,'results'!$A:$A,'Controle Odonto Limites'!C5)</f>
        <v>0</v>
      </c>
      <c r="G5" s="6">
        <f>SUMIFS('results'!$E:$E,'results'!$A:$A,'Controle Odonto Limites'!C5,results!$H:$H,"&gt;0")</f>
        <v>0</v>
      </c>
      <c r="H5" s="16">
        <f t="shared" si="1"/>
        <v>10592.43</v>
      </c>
      <c r="I5" s="8">
        <f t="shared" si="2"/>
        <v>1</v>
      </c>
    </row>
    <row r="6" spans="2:9">
      <c r="B6" s="2">
        <v>16653</v>
      </c>
      <c r="C6" s="2" t="s">
        <v>66</v>
      </c>
      <c r="D6" s="13">
        <f>VLOOKUP(C6,BD!$A:$F,6,FALSE)</f>
        <v>11539.11</v>
      </c>
      <c r="E6" s="13">
        <f t="shared" si="0"/>
        <v>11539.11</v>
      </c>
      <c r="F6" s="5">
        <f>SUMIFS('results'!$E:$E,'results'!$A:$A,'Controle Odonto Limites'!C6)</f>
        <v>0</v>
      </c>
      <c r="G6" s="6">
        <f>SUMIFS('results'!$E:$E,'results'!$A:$A,'Controle Odonto Limites'!C6,results!$H:$H,"&gt;0")</f>
        <v>0</v>
      </c>
      <c r="H6" s="16">
        <f t="shared" si="1"/>
        <v>11539.11</v>
      </c>
      <c r="I6" s="8">
        <f t="shared" si="2"/>
        <v>1</v>
      </c>
    </row>
    <row r="7" spans="2:9">
      <c r="B7" s="2">
        <v>12359</v>
      </c>
      <c r="C7" s="2" t="s">
        <v>67</v>
      </c>
      <c r="D7" s="13">
        <f>VLOOKUP(C7,BD!$A:$F,6,FALSE)</f>
        <v>12293.82</v>
      </c>
      <c r="E7" s="13">
        <f t="shared" si="0"/>
        <v>12293.82</v>
      </c>
      <c r="F7" s="5">
        <f>SUMIFS('results'!$E:$E,'results'!$A:$A,'Controle Odonto Limites'!C7)</f>
        <v>0</v>
      </c>
      <c r="G7" s="6">
        <f>SUMIFS('results'!$E:$E,'results'!$A:$A,'Controle Odonto Limites'!C7,results!$H:$H,"&gt;0")</f>
        <v>0</v>
      </c>
      <c r="H7" s="16">
        <f t="shared" si="1"/>
        <v>12293.82</v>
      </c>
      <c r="I7" s="8">
        <f t="shared" si="2"/>
        <v>1</v>
      </c>
    </row>
    <row r="8" spans="2:9">
      <c r="B8" s="2">
        <v>18720</v>
      </c>
      <c r="C8" s="2" t="s">
        <v>68</v>
      </c>
      <c r="D8" s="13">
        <f>VLOOKUP(C8,BD!$A:$F,6,FALSE)</f>
        <v>12389.19</v>
      </c>
      <c r="E8" s="13">
        <f t="shared" si="0"/>
        <v>12389.19</v>
      </c>
      <c r="F8" s="5">
        <f>SUMIFS('results'!$E:$E,'results'!$A:$A,'Controle Odonto Limites'!C8)</f>
        <v>0</v>
      </c>
      <c r="G8" s="6">
        <f>SUMIFS('results'!$E:$E,'results'!$A:$A,'Controle Odonto Limites'!C8,results!$H:$H,"&gt;0")</f>
        <v>0</v>
      </c>
      <c r="H8" s="16">
        <f t="shared" si="1"/>
        <v>12389.19</v>
      </c>
      <c r="I8" s="8">
        <f t="shared" si="2"/>
        <v>1</v>
      </c>
    </row>
    <row r="9" spans="2:9">
      <c r="B9" s="2">
        <v>17280</v>
      </c>
      <c r="C9" s="2" t="s">
        <v>69</v>
      </c>
      <c r="D9" s="13">
        <f>VLOOKUP(C9,BD!$A:$F,6,FALSE)</f>
        <v>14660.12</v>
      </c>
      <c r="E9" s="13">
        <f t="shared" si="0"/>
        <v>14660.12</v>
      </c>
      <c r="F9" s="5">
        <f>SUMIFS('results'!$E:$E,'results'!$A:$A,'Controle Odonto Limites'!C9)</f>
        <v>0</v>
      </c>
      <c r="G9" s="6">
        <f>SUMIFS('results'!$E:$E,'results'!$A:$A,'Controle Odonto Limites'!C9,results!$H:$H,"&gt;0")</f>
        <v>0</v>
      </c>
      <c r="H9" s="16">
        <f t="shared" si="1"/>
        <v>14660.12</v>
      </c>
      <c r="I9" s="8">
        <f t="shared" si="2"/>
        <v>1</v>
      </c>
    </row>
    <row r="10" spans="2:9">
      <c r="B10" s="2">
        <v>17420</v>
      </c>
      <c r="C10" s="2" t="s">
        <v>70</v>
      </c>
      <c r="D10" s="13">
        <f>VLOOKUP(C10,BD!$A:$F,6,FALSE)</f>
        <v>14882.42</v>
      </c>
      <c r="E10" s="13">
        <f t="shared" si="0"/>
        <v>14882.42</v>
      </c>
      <c r="F10" s="5">
        <f>SUMIFS('results'!$E:$E,'results'!$A:$A,'Controle Odonto Limites'!C10)</f>
        <v>0</v>
      </c>
      <c r="G10" s="6">
        <f>SUMIFS('results'!$E:$E,'results'!$A:$A,'Controle Odonto Limites'!C10,results!$H:$H,"&gt;0")</f>
        <v>0</v>
      </c>
      <c r="H10" s="16">
        <f t="shared" si="1"/>
        <v>14882.42</v>
      </c>
      <c r="I10" s="8">
        <f t="shared" si="2"/>
        <v>1</v>
      </c>
    </row>
    <row r="11" spans="2:9">
      <c r="B11" s="2">
        <v>14450</v>
      </c>
      <c r="C11" s="2" t="s">
        <v>71</v>
      </c>
      <c r="D11" s="13">
        <f>VLOOKUP(C11,BD!$A:$F,6,FALSE)</f>
        <v>15817.44</v>
      </c>
      <c r="E11" s="13">
        <f t="shared" si="0"/>
        <v>15817.44</v>
      </c>
      <c r="F11" s="5">
        <f>SUMIFS('results'!$E:$E,'results'!$A:$A,'Controle Odonto Limites'!C11)</f>
        <v>0</v>
      </c>
      <c r="G11" s="6">
        <f>SUMIFS('results'!$E:$E,'results'!$A:$A,'Controle Odonto Limites'!C11,results!$H:$H,"&gt;0")</f>
        <v>0</v>
      </c>
      <c r="H11" s="16">
        <f t="shared" si="1"/>
        <v>15817.44</v>
      </c>
      <c r="I11" s="8">
        <f t="shared" si="2"/>
        <v>1</v>
      </c>
    </row>
    <row r="12" spans="2:9">
      <c r="B12" s="2">
        <v>1463</v>
      </c>
      <c r="C12" s="2" t="s">
        <v>29</v>
      </c>
      <c r="D12" s="13">
        <f>VLOOKUP(C12,BD!$A:$F,6,FALSE)</f>
        <v>15930.9</v>
      </c>
      <c r="E12" s="13">
        <f t="shared" si="0"/>
        <v>15930.9</v>
      </c>
      <c r="F12" s="5">
        <f>SUMIFS('results'!$E:$E,'results'!$A:$A,'Controle Odonto Limites'!C12)</f>
        <v>12412.630000000003</v>
      </c>
      <c r="G12" s="6">
        <f>SUMIFS('results'!$E:$E,'results'!$A:$A,'Controle Odonto Limites'!C12,results!$H:$H,"&gt;0")</f>
        <v>0</v>
      </c>
      <c r="H12" s="16">
        <f t="shared" si="1"/>
        <v>3518.2699999999968</v>
      </c>
      <c r="I12" s="8">
        <f t="shared" si="2"/>
        <v>0.22084565216026697</v>
      </c>
    </row>
    <row r="13" spans="2:9">
      <c r="B13" s="2">
        <v>17569</v>
      </c>
      <c r="C13" s="2" t="s">
        <v>41</v>
      </c>
      <c r="D13" s="13">
        <f>VLOOKUP(C13,BD!$A:$F,6,FALSE)</f>
        <v>16023.53</v>
      </c>
      <c r="E13" s="13">
        <f t="shared" si="0"/>
        <v>16023.53</v>
      </c>
      <c r="F13" s="5">
        <f>SUMIFS('results'!$E:$E,'results'!$A:$A,'Controle Odonto Limites'!C13)</f>
        <v>15871.610000000015</v>
      </c>
      <c r="G13" s="6">
        <f>SUMIFS('results'!$E:$E,'results'!$A:$A,'Controle Odonto Limites'!C13,results!$H:$H,"&gt;0")</f>
        <v>0</v>
      </c>
      <c r="H13" s="16">
        <f t="shared" si="1"/>
        <v>151.91999999998552</v>
      </c>
      <c r="I13" s="8">
        <f t="shared" si="2"/>
        <v>9.4810569206651412E-3</v>
      </c>
    </row>
    <row r="14" spans="2:9">
      <c r="B14" s="2">
        <v>13994</v>
      </c>
      <c r="C14" s="2" t="s">
        <v>72</v>
      </c>
      <c r="D14" s="13">
        <f>VLOOKUP(C14,BD!$A:$F,6,FALSE)</f>
        <v>16864.509999999998</v>
      </c>
      <c r="E14" s="13">
        <f t="shared" si="0"/>
        <v>16864.509999999998</v>
      </c>
      <c r="F14" s="5">
        <f>SUMIFS('results'!$E:$E,'results'!$A:$A,'Controle Odonto Limites'!C14)</f>
        <v>0</v>
      </c>
      <c r="G14" s="6">
        <f>SUMIFS('results'!$E:$E,'results'!$A:$A,'Controle Odonto Limites'!C14,results!$H:$H,"&gt;0")</f>
        <v>0</v>
      </c>
      <c r="H14" s="16">
        <f t="shared" si="1"/>
        <v>16864.509999999998</v>
      </c>
      <c r="I14" s="8">
        <f t="shared" si="2"/>
        <v>1</v>
      </c>
    </row>
    <row r="15" spans="2:9">
      <c r="B15" s="2">
        <v>7132</v>
      </c>
      <c r="C15" s="2" t="s">
        <v>73</v>
      </c>
      <c r="D15" s="13">
        <f>VLOOKUP(C15,BD!$A:$F,6,FALSE)</f>
        <v>19163.38</v>
      </c>
      <c r="E15" s="13">
        <f t="shared" si="0"/>
        <v>19163.38</v>
      </c>
      <c r="F15" s="5">
        <f>SUMIFS('results'!$E:$E,'results'!$A:$A,'Controle Odonto Limites'!C15)</f>
        <v>0</v>
      </c>
      <c r="G15" s="6">
        <f>SUMIFS('results'!$E:$E,'results'!$A:$A,'Controle Odonto Limites'!C15,results!$H:$H,"&gt;0")</f>
        <v>0</v>
      </c>
      <c r="H15" s="16">
        <f t="shared" si="1"/>
        <v>19163.38</v>
      </c>
      <c r="I15" s="8">
        <f t="shared" si="2"/>
        <v>1</v>
      </c>
    </row>
    <row r="16" spans="2:9">
      <c r="B16" s="2">
        <v>2779</v>
      </c>
      <c r="C16" s="2" t="s">
        <v>74</v>
      </c>
      <c r="D16" s="13">
        <f>VLOOKUP(C16,BD!$A:$F,6,FALSE)</f>
        <v>19325.36</v>
      </c>
      <c r="E16" s="13">
        <f t="shared" si="0"/>
        <v>19325.36</v>
      </c>
      <c r="F16" s="5">
        <f>SUMIFS('results'!$E:$E,'results'!$A:$A,'Controle Odonto Limites'!C16)</f>
        <v>0</v>
      </c>
      <c r="G16" s="6">
        <f>SUMIFS('results'!$E:$E,'results'!$A:$A,'Controle Odonto Limites'!C16,results!$H:$H,"&gt;0")</f>
        <v>0</v>
      </c>
      <c r="H16" s="16">
        <f t="shared" si="1"/>
        <v>19325.36</v>
      </c>
      <c r="I16" s="8">
        <f t="shared" si="2"/>
        <v>1</v>
      </c>
    </row>
    <row r="17" spans="2:9">
      <c r="B17" s="2">
        <v>17092</v>
      </c>
      <c r="C17" s="2" t="s">
        <v>75</v>
      </c>
      <c r="D17" s="13">
        <f>VLOOKUP(C17,BD!$A:$F,6,FALSE)</f>
        <v>19524.45</v>
      </c>
      <c r="E17" s="13">
        <f t="shared" si="0"/>
        <v>19524.45</v>
      </c>
      <c r="F17" s="5">
        <f>SUMIFS('results'!$E:$E,'results'!$A:$A,'Controle Odonto Limites'!C17)</f>
        <v>0</v>
      </c>
      <c r="G17" s="6">
        <f>SUMIFS('results'!$E:$E,'results'!$A:$A,'Controle Odonto Limites'!C17,results!$H:$H,"&gt;0")</f>
        <v>0</v>
      </c>
      <c r="H17" s="16">
        <f t="shared" si="1"/>
        <v>19524.45</v>
      </c>
      <c r="I17" s="8">
        <f t="shared" si="2"/>
        <v>1</v>
      </c>
    </row>
    <row r="18" spans="2:9">
      <c r="B18" s="2">
        <v>1243</v>
      </c>
      <c r="C18" s="2" t="s">
        <v>76</v>
      </c>
      <c r="D18" s="13">
        <f>VLOOKUP(C18,BD!$A:$F,6,FALSE)</f>
        <v>20718.16</v>
      </c>
      <c r="E18" s="13">
        <f t="shared" si="0"/>
        <v>20718.16</v>
      </c>
      <c r="F18" s="5">
        <f>SUMIFS('results'!$E:$E,'results'!$A:$A,'Controle Odonto Limites'!C18)</f>
        <v>0</v>
      </c>
      <c r="G18" s="6">
        <f>SUMIFS('results'!$E:$E,'results'!$A:$A,'Controle Odonto Limites'!C18,results!$H:$H,"&gt;0")</f>
        <v>0</v>
      </c>
      <c r="H18" s="16">
        <f t="shared" si="1"/>
        <v>20718.16</v>
      </c>
      <c r="I18" s="8">
        <f t="shared" si="2"/>
        <v>1</v>
      </c>
    </row>
    <row r="19" spans="2:9">
      <c r="B19" s="2">
        <v>14734</v>
      </c>
      <c r="C19" s="2" t="s">
        <v>53</v>
      </c>
      <c r="D19" s="13">
        <f>VLOOKUP(C19,BD!$A:$F,6,FALSE)</f>
        <v>20885.95</v>
      </c>
      <c r="E19" s="13">
        <f t="shared" si="0"/>
        <v>20885.95</v>
      </c>
      <c r="F19" s="5">
        <f>SUMIFS('results'!$E:$E,'results'!$A:$A,'Controle Odonto Limites'!C19)</f>
        <v>5410.17</v>
      </c>
      <c r="G19" s="6">
        <f>SUMIFS('results'!$E:$E,'results'!$A:$A,'Controle Odonto Limites'!C19,results!$H:$H,"&gt;0")</f>
        <v>0</v>
      </c>
      <c r="H19" s="16">
        <f t="shared" si="1"/>
        <v>15475.78</v>
      </c>
      <c r="I19" s="8">
        <f t="shared" si="2"/>
        <v>0.74096605612864153</v>
      </c>
    </row>
    <row r="20" spans="2:9">
      <c r="B20" s="2">
        <v>17832</v>
      </c>
      <c r="C20" s="2" t="s">
        <v>77</v>
      </c>
      <c r="D20" s="13">
        <f>VLOOKUP(C20,BD!$A:$F,6,FALSE)</f>
        <v>21534.23</v>
      </c>
      <c r="E20" s="13">
        <f t="shared" si="0"/>
        <v>21534.23</v>
      </c>
      <c r="F20" s="5">
        <f>SUMIFS('results'!$E:$E,'results'!$A:$A,'Controle Odonto Limites'!C20)</f>
        <v>0</v>
      </c>
      <c r="G20" s="6">
        <f>SUMIFS('results'!$E:$E,'results'!$A:$A,'Controle Odonto Limites'!C20,results!$H:$H,"&gt;0")</f>
        <v>0</v>
      </c>
      <c r="H20" s="16">
        <f t="shared" si="1"/>
        <v>21534.23</v>
      </c>
      <c r="I20" s="8">
        <f t="shared" si="2"/>
        <v>1</v>
      </c>
    </row>
    <row r="21" spans="2:9">
      <c r="B21" s="2">
        <v>18605</v>
      </c>
      <c r="C21" s="2" t="s">
        <v>38</v>
      </c>
      <c r="D21" s="13">
        <f>VLOOKUP(C21,BD!$A:$F,6,FALSE)</f>
        <v>21963.98</v>
      </c>
      <c r="E21" s="13">
        <f t="shared" si="0"/>
        <v>21963.98</v>
      </c>
      <c r="F21" s="5">
        <f>SUMIFS('results'!$E:$E,'results'!$A:$A,'Controle Odonto Limites'!C21)</f>
        <v>21824.059999999994</v>
      </c>
      <c r="G21" s="6">
        <f>SUMIFS('results'!$E:$E,'results'!$A:$A,'Controle Odonto Limites'!C21,results!$H:$H,"&gt;0")</f>
        <v>0</v>
      </c>
      <c r="H21" s="16">
        <f t="shared" si="1"/>
        <v>139.92000000000553</v>
      </c>
      <c r="I21" s="8">
        <f t="shared" si="2"/>
        <v>6.3704301315155787E-3</v>
      </c>
    </row>
    <row r="22" spans="2:9">
      <c r="B22" s="2">
        <v>15511</v>
      </c>
      <c r="C22" s="2" t="s">
        <v>78</v>
      </c>
      <c r="D22" s="13">
        <f>VLOOKUP(C22,BD!$A:$F,6,FALSE)</f>
        <v>22756.09</v>
      </c>
      <c r="E22" s="13">
        <f t="shared" si="0"/>
        <v>22756.09</v>
      </c>
      <c r="F22" s="5">
        <f>SUMIFS('results'!$E:$E,'results'!$A:$A,'Controle Odonto Limites'!C22)</f>
        <v>0</v>
      </c>
      <c r="G22" s="6">
        <f>SUMIFS('results'!$E:$E,'results'!$A:$A,'Controle Odonto Limites'!C22,results!$H:$H,"&gt;0")</f>
        <v>0</v>
      </c>
      <c r="H22" s="16">
        <f t="shared" si="1"/>
        <v>22756.09</v>
      </c>
      <c r="I22" s="8">
        <f t="shared" si="2"/>
        <v>1</v>
      </c>
    </row>
    <row r="23" spans="2:9">
      <c r="B23" s="2">
        <v>12003</v>
      </c>
      <c r="C23" s="2" t="s">
        <v>79</v>
      </c>
      <c r="D23" s="13">
        <f>VLOOKUP(C23,BD!$A:$F,6,FALSE)</f>
        <v>23816.080000000002</v>
      </c>
      <c r="E23" s="13">
        <f t="shared" si="0"/>
        <v>23816.080000000002</v>
      </c>
      <c r="F23" s="5">
        <f>SUMIFS('results'!$E:$E,'results'!$A:$A,'Controle Odonto Limites'!C23)</f>
        <v>0</v>
      </c>
      <c r="G23" s="6">
        <f>SUMIFS('results'!$E:$E,'results'!$A:$A,'Controle Odonto Limites'!C23,results!$H:$H,"&gt;0")</f>
        <v>0</v>
      </c>
      <c r="H23" s="16">
        <f t="shared" si="1"/>
        <v>23816.080000000002</v>
      </c>
      <c r="I23" s="8">
        <f t="shared" si="2"/>
        <v>1</v>
      </c>
    </row>
    <row r="24" spans="2:9">
      <c r="B24" s="2">
        <v>18269</v>
      </c>
      <c r="C24" s="2" t="s">
        <v>80</v>
      </c>
      <c r="D24" s="13">
        <f>VLOOKUP(C24,BD!$A:$F,6,FALSE)</f>
        <v>24027.18</v>
      </c>
      <c r="E24" s="13">
        <f t="shared" si="0"/>
        <v>24027.18</v>
      </c>
      <c r="F24" s="5">
        <f>SUMIFS('results'!$E:$E,'results'!$A:$A,'Controle Odonto Limites'!C24)</f>
        <v>0</v>
      </c>
      <c r="G24" s="6">
        <f>SUMIFS('results'!$E:$E,'results'!$A:$A,'Controle Odonto Limites'!C24,results!$H:$H,"&gt;0")</f>
        <v>0</v>
      </c>
      <c r="H24" s="16">
        <f t="shared" si="1"/>
        <v>24027.18</v>
      </c>
      <c r="I24" s="8">
        <f t="shared" si="2"/>
        <v>1</v>
      </c>
    </row>
    <row r="25" spans="2:9">
      <c r="B25" s="2">
        <v>1271</v>
      </c>
      <c r="C25" s="2" t="s">
        <v>81</v>
      </c>
      <c r="D25" s="13">
        <f>VLOOKUP(C25,BD!$A:$F,6,FALSE)</f>
        <v>26705.8</v>
      </c>
      <c r="E25" s="13">
        <f t="shared" si="0"/>
        <v>26705.8</v>
      </c>
      <c r="F25" s="5">
        <f>SUMIFS('results'!$E:$E,'results'!$A:$A,'Controle Odonto Limites'!C25)</f>
        <v>0</v>
      </c>
      <c r="G25" s="6">
        <f>SUMIFS('results'!$E:$E,'results'!$A:$A,'Controle Odonto Limites'!C25,results!$H:$H,"&gt;0")</f>
        <v>0</v>
      </c>
      <c r="H25" s="16">
        <f t="shared" si="1"/>
        <v>26705.8</v>
      </c>
      <c r="I25" s="8">
        <f t="shared" si="2"/>
        <v>1</v>
      </c>
    </row>
    <row r="26" spans="2:9">
      <c r="B26" s="2">
        <v>10093</v>
      </c>
      <c r="C26" s="2" t="s">
        <v>82</v>
      </c>
      <c r="D26" s="13">
        <f>VLOOKUP(C26,BD!$A:$F,6,FALSE)</f>
        <v>27012.5</v>
      </c>
      <c r="E26" s="13">
        <f t="shared" si="0"/>
        <v>27012.5</v>
      </c>
      <c r="F26" s="5">
        <f>SUMIFS('results'!$E:$E,'results'!$A:$A,'Controle Odonto Limites'!C26)</f>
        <v>0</v>
      </c>
      <c r="G26" s="6">
        <f>SUMIFS('results'!$E:$E,'results'!$A:$A,'Controle Odonto Limites'!C26,results!$H:$H,"&gt;0")</f>
        <v>0</v>
      </c>
      <c r="H26" s="16">
        <f t="shared" si="1"/>
        <v>27012.5</v>
      </c>
      <c r="I26" s="8">
        <f t="shared" si="2"/>
        <v>1</v>
      </c>
    </row>
    <row r="27" spans="2:9">
      <c r="B27" s="2">
        <v>13940</v>
      </c>
      <c r="C27" s="2" t="s">
        <v>83</v>
      </c>
      <c r="D27" s="13">
        <f>VLOOKUP(C27,BD!$A:$F,6,FALSE)</f>
        <v>27936.07</v>
      </c>
      <c r="E27" s="13">
        <f t="shared" si="0"/>
        <v>27936.07</v>
      </c>
      <c r="F27" s="5">
        <f>SUMIFS('results'!$E:$E,'results'!$A:$A,'Controle Odonto Limites'!C27)</f>
        <v>0</v>
      </c>
      <c r="G27" s="6">
        <f>SUMIFS('results'!$E:$E,'results'!$A:$A,'Controle Odonto Limites'!C27,results!$H:$H,"&gt;0")</f>
        <v>0</v>
      </c>
      <c r="H27" s="16">
        <f t="shared" si="1"/>
        <v>27936.07</v>
      </c>
      <c r="I27" s="8">
        <f t="shared" si="2"/>
        <v>1</v>
      </c>
    </row>
    <row r="28" spans="2:9">
      <c r="B28" s="2">
        <v>13026</v>
      </c>
      <c r="C28" s="2" t="s">
        <v>84</v>
      </c>
      <c r="D28" s="13">
        <f>VLOOKUP(C28,BD!$A:$F,6,FALSE)</f>
        <v>30918.2</v>
      </c>
      <c r="E28" s="13">
        <f t="shared" si="0"/>
        <v>30918.2</v>
      </c>
      <c r="F28" s="5">
        <f>SUMIFS('results'!$E:$E,'results'!$A:$A,'Controle Odonto Limites'!C28)</f>
        <v>0</v>
      </c>
      <c r="G28" s="6">
        <f>SUMIFS('results'!$E:$E,'results'!$A:$A,'Controle Odonto Limites'!C28,results!$H:$H,"&gt;0")</f>
        <v>0</v>
      </c>
      <c r="H28" s="16">
        <f t="shared" si="1"/>
        <v>30918.2</v>
      </c>
      <c r="I28" s="8">
        <f t="shared" si="2"/>
        <v>1</v>
      </c>
    </row>
    <row r="29" spans="2:9">
      <c r="B29" s="2">
        <v>16908</v>
      </c>
      <c r="C29" s="2" t="s">
        <v>85</v>
      </c>
      <c r="D29" s="13">
        <f>VLOOKUP(C29,BD!$A:$F,6,FALSE)</f>
        <v>31553.759999999998</v>
      </c>
      <c r="E29" s="13">
        <f t="shared" si="0"/>
        <v>31553.759999999998</v>
      </c>
      <c r="F29" s="5">
        <f>SUMIFS('results'!$E:$E,'results'!$A:$A,'Controle Odonto Limites'!C29)</f>
        <v>0</v>
      </c>
      <c r="G29" s="6">
        <f>SUMIFS('results'!$E:$E,'results'!$A:$A,'Controle Odonto Limites'!C29,results!$H:$H,"&gt;0")</f>
        <v>0</v>
      </c>
      <c r="H29" s="16">
        <f t="shared" si="1"/>
        <v>31553.759999999998</v>
      </c>
      <c r="I29" s="8">
        <f t="shared" si="2"/>
        <v>1</v>
      </c>
    </row>
    <row r="30" spans="2:9">
      <c r="B30" s="2">
        <v>17798</v>
      </c>
      <c r="C30" s="2" t="s">
        <v>86</v>
      </c>
      <c r="D30" s="13">
        <f>VLOOKUP(C30,BD!$A:$F,6,FALSE)</f>
        <v>31957.59</v>
      </c>
      <c r="E30" s="13">
        <f t="shared" si="0"/>
        <v>31957.59</v>
      </c>
      <c r="F30" s="5">
        <f>SUMIFS('results'!$E:$E,'results'!$A:$A,'Controle Odonto Limites'!C30)</f>
        <v>0</v>
      </c>
      <c r="G30" s="6">
        <f>SUMIFS('results'!$E:$E,'results'!$A:$A,'Controle Odonto Limites'!C30,results!$H:$H,"&gt;0")</f>
        <v>0</v>
      </c>
      <c r="H30" s="16">
        <f t="shared" si="1"/>
        <v>31957.59</v>
      </c>
      <c r="I30" s="8">
        <f t="shared" si="2"/>
        <v>1</v>
      </c>
    </row>
    <row r="31" spans="2:9">
      <c r="B31" s="2">
        <v>846</v>
      </c>
      <c r="C31" s="2" t="s">
        <v>87</v>
      </c>
      <c r="D31" s="13">
        <f>VLOOKUP(C31,BD!$A:$F,6,FALSE)</f>
        <v>32169.08</v>
      </c>
      <c r="E31" s="13">
        <f t="shared" si="0"/>
        <v>32169.08</v>
      </c>
      <c r="F31" s="5">
        <f>SUMIFS('results'!$E:$E,'results'!$A:$A,'Controle Odonto Limites'!C31)</f>
        <v>0</v>
      </c>
      <c r="G31" s="6">
        <f>SUMIFS('results'!$E:$E,'results'!$A:$A,'Controle Odonto Limites'!C31,results!$H:$H,"&gt;0")</f>
        <v>0</v>
      </c>
      <c r="H31" s="16">
        <f t="shared" si="1"/>
        <v>32169.08</v>
      </c>
      <c r="I31" s="8">
        <f t="shared" si="2"/>
        <v>1</v>
      </c>
    </row>
    <row r="32" spans="2:9">
      <c r="B32" s="2">
        <v>13175</v>
      </c>
      <c r="C32" s="2" t="s">
        <v>44</v>
      </c>
      <c r="D32" s="13">
        <f>VLOOKUP(C32,BD!$A:$F,6,FALSE)</f>
        <v>34360.949999999997</v>
      </c>
      <c r="E32" s="13">
        <f t="shared" si="0"/>
        <v>34360.949999999997</v>
      </c>
      <c r="F32" s="5">
        <f>SUMIFS('results'!$E:$E,'results'!$A:$A,'Controle Odonto Limites'!C32)</f>
        <v>32113.369999999937</v>
      </c>
      <c r="G32" s="6">
        <f>SUMIFS('results'!$E:$E,'results'!$A:$A,'Controle Odonto Limites'!C32,results!$H:$H,"&gt;0")</f>
        <v>0</v>
      </c>
      <c r="H32" s="16">
        <f t="shared" si="1"/>
        <v>2247.58000000006</v>
      </c>
      <c r="I32" s="8">
        <f t="shared" si="2"/>
        <v>6.5410880665408261E-2</v>
      </c>
    </row>
    <row r="33" spans="2:9">
      <c r="B33" s="2">
        <v>16609</v>
      </c>
      <c r="C33" s="2" t="s">
        <v>88</v>
      </c>
      <c r="D33" s="13">
        <f>VLOOKUP(C33,BD!$A:$F,6,FALSE)</f>
        <v>36872.18</v>
      </c>
      <c r="E33" s="13">
        <f t="shared" si="0"/>
        <v>36872.18</v>
      </c>
      <c r="F33" s="5">
        <f>SUMIFS('results'!$E:$E,'results'!$A:$A,'Controle Odonto Limites'!C33)</f>
        <v>0</v>
      </c>
      <c r="G33" s="6">
        <f>SUMIFS('results'!$E:$E,'results'!$A:$A,'Controle Odonto Limites'!C33,results!$H:$H,"&gt;0")</f>
        <v>0</v>
      </c>
      <c r="H33" s="16">
        <f t="shared" si="1"/>
        <v>36872.18</v>
      </c>
      <c r="I33" s="8">
        <f t="shared" si="2"/>
        <v>1</v>
      </c>
    </row>
    <row r="34" spans="2:9">
      <c r="B34" s="2">
        <v>15578</v>
      </c>
      <c r="C34" s="2" t="s">
        <v>14</v>
      </c>
      <c r="D34" s="13">
        <f>VLOOKUP(C34,BD!$A:$F,6,FALSE)</f>
        <v>36955.589999999997</v>
      </c>
      <c r="E34" s="13">
        <f t="shared" si="0"/>
        <v>36955.589999999997</v>
      </c>
      <c r="F34" s="5">
        <f>SUMIFS('results'!$E:$E,'results'!$A:$A,'Controle Odonto Limites'!C34)</f>
        <v>36671.929999999942</v>
      </c>
      <c r="G34" s="6">
        <f>SUMIFS('results'!$E:$E,'results'!$A:$A,'Controle Odonto Limites'!C34,results!$H:$H,"&gt;0")</f>
        <v>0</v>
      </c>
      <c r="H34" s="16">
        <f t="shared" si="1"/>
        <v>283.66000000005442</v>
      </c>
      <c r="I34" s="8">
        <f t="shared" si="2"/>
        <v>7.6756994002816475E-3</v>
      </c>
    </row>
    <row r="35" spans="2:9">
      <c r="B35" s="2">
        <v>18604</v>
      </c>
      <c r="C35" s="2" t="s">
        <v>11</v>
      </c>
      <c r="D35" s="13">
        <f>VLOOKUP(C35,BD!$A:$F,6,FALSE)</f>
        <v>40174.589999999997</v>
      </c>
      <c r="E35" s="13">
        <f t="shared" si="0"/>
        <v>40174.589999999997</v>
      </c>
      <c r="F35" s="5">
        <f>SUMIFS('results'!$E:$E,'results'!$A:$A,'Controle Odonto Limites'!C35)</f>
        <v>40078.169999999947</v>
      </c>
      <c r="G35" s="6">
        <f>SUMIFS('results'!$E:$E,'results'!$A:$A,'Controle Odonto Limites'!C35,results!$H:$H,"&gt;0")</f>
        <v>0</v>
      </c>
      <c r="H35" s="16">
        <f t="shared" si="1"/>
        <v>96.420000000049185</v>
      </c>
      <c r="I35" s="8">
        <f t="shared" si="2"/>
        <v>2.4000244930949934E-3</v>
      </c>
    </row>
    <row r="36" spans="2:9">
      <c r="B36" s="2">
        <v>3578</v>
      </c>
      <c r="C36" s="2" t="s">
        <v>89</v>
      </c>
      <c r="D36" s="13">
        <f>VLOOKUP(C36,BD!$A:$F,6,FALSE)</f>
        <v>40439.58</v>
      </c>
      <c r="E36" s="13">
        <f t="shared" si="0"/>
        <v>40439.58</v>
      </c>
      <c r="F36" s="5">
        <f>SUMIFS('results'!$E:$E,'results'!$A:$A,'Controle Odonto Limites'!C36)</f>
        <v>0</v>
      </c>
      <c r="G36" s="6">
        <f>SUMIFS('results'!$E:$E,'results'!$A:$A,'Controle Odonto Limites'!C36,results!$H:$H,"&gt;0")</f>
        <v>0</v>
      </c>
      <c r="H36" s="16">
        <f t="shared" si="1"/>
        <v>40439.58</v>
      </c>
      <c r="I36" s="8">
        <f t="shared" si="2"/>
        <v>1</v>
      </c>
    </row>
    <row r="37" spans="2:9">
      <c r="B37" s="2">
        <v>7908</v>
      </c>
      <c r="C37" s="2" t="s">
        <v>90</v>
      </c>
      <c r="D37" s="13">
        <f>VLOOKUP(C37,BD!$A:$F,6,FALSE)</f>
        <v>40574.26</v>
      </c>
      <c r="E37" s="13">
        <f t="shared" si="0"/>
        <v>40574.26</v>
      </c>
      <c r="F37" s="5">
        <f>SUMIFS('results'!$E:$E,'results'!$A:$A,'Controle Odonto Limites'!C37)</f>
        <v>0</v>
      </c>
      <c r="G37" s="6">
        <f>SUMIFS('results'!$E:$E,'results'!$A:$A,'Controle Odonto Limites'!C37,results!$H:$H,"&gt;0")</f>
        <v>0</v>
      </c>
      <c r="H37" s="16">
        <f t="shared" si="1"/>
        <v>40574.26</v>
      </c>
      <c r="I37" s="8">
        <f t="shared" si="2"/>
        <v>1</v>
      </c>
    </row>
    <row r="38" spans="2:9">
      <c r="B38" s="2">
        <v>13022</v>
      </c>
      <c r="C38" s="2" t="s">
        <v>91</v>
      </c>
      <c r="D38" s="13">
        <f>VLOOKUP(C38,BD!$A:$F,6,FALSE)</f>
        <v>43701.120000000003</v>
      </c>
      <c r="E38" s="13">
        <f t="shared" si="0"/>
        <v>43701.120000000003</v>
      </c>
      <c r="F38" s="5">
        <f>SUMIFS('results'!$E:$E,'results'!$A:$A,'Controle Odonto Limites'!C38)</f>
        <v>0</v>
      </c>
      <c r="G38" s="6">
        <f>SUMIFS('results'!$E:$E,'results'!$A:$A,'Controle Odonto Limites'!C38,results!$H:$H,"&gt;0")</f>
        <v>0</v>
      </c>
      <c r="H38" s="16">
        <f t="shared" si="1"/>
        <v>43701.120000000003</v>
      </c>
      <c r="I38" s="8">
        <f t="shared" si="2"/>
        <v>1</v>
      </c>
    </row>
    <row r="39" spans="2:9">
      <c r="B39" s="2">
        <v>12995</v>
      </c>
      <c r="C39" s="2" t="s">
        <v>92</v>
      </c>
      <c r="D39" s="13">
        <f>VLOOKUP(C39,BD!$A:$F,6,FALSE)</f>
        <v>43780.18</v>
      </c>
      <c r="E39" s="13">
        <f t="shared" si="0"/>
        <v>43780.18</v>
      </c>
      <c r="F39" s="5">
        <f>SUMIFS('results'!$E:$E,'results'!$A:$A,'Controle Odonto Limites'!C39)</f>
        <v>0</v>
      </c>
      <c r="G39" s="6">
        <f>SUMIFS('results'!$E:$E,'results'!$A:$A,'Controle Odonto Limites'!C39,results!$H:$H,"&gt;0")</f>
        <v>0</v>
      </c>
      <c r="H39" s="16">
        <f t="shared" si="1"/>
        <v>43780.18</v>
      </c>
      <c r="I39" s="8">
        <f t="shared" si="2"/>
        <v>1</v>
      </c>
    </row>
    <row r="40" spans="2:9">
      <c r="B40" s="2">
        <v>15407</v>
      </c>
      <c r="C40" s="2" t="s">
        <v>50</v>
      </c>
      <c r="D40" s="13">
        <f>VLOOKUP(C40,BD!$A:$F,6,FALSE)</f>
        <v>43920.75</v>
      </c>
      <c r="E40" s="13">
        <f t="shared" si="0"/>
        <v>43920.75</v>
      </c>
      <c r="F40" s="5">
        <f>SUMIFS('results'!$E:$E,'results'!$A:$A,'Controle Odonto Limites'!C40)</f>
        <v>30972.720000000005</v>
      </c>
      <c r="G40" s="6">
        <f>SUMIFS('results'!$E:$E,'results'!$A:$A,'Controle Odonto Limites'!C40,results!$H:$H,"&gt;0")</f>
        <v>0</v>
      </c>
      <c r="H40" s="16">
        <f t="shared" si="1"/>
        <v>12948.029999999995</v>
      </c>
      <c r="I40" s="8">
        <f t="shared" si="2"/>
        <v>0.2948043920015026</v>
      </c>
    </row>
    <row r="41" spans="2:9">
      <c r="B41" s="2">
        <v>18722</v>
      </c>
      <c r="C41" s="2" t="s">
        <v>93</v>
      </c>
      <c r="D41" s="13">
        <f>VLOOKUP(C41,BD!$A:$F,6,FALSE)</f>
        <v>45025.65</v>
      </c>
      <c r="E41" s="13">
        <f t="shared" si="0"/>
        <v>45025.65</v>
      </c>
      <c r="F41" s="5">
        <f>SUMIFS('results'!$E:$E,'results'!$A:$A,'Controle Odonto Limites'!C41)</f>
        <v>0</v>
      </c>
      <c r="G41" s="6">
        <f>SUMIFS('results'!$E:$E,'results'!$A:$A,'Controle Odonto Limites'!C41,results!$H:$H,"&gt;0")</f>
        <v>0</v>
      </c>
      <c r="H41" s="16">
        <f t="shared" si="1"/>
        <v>45025.65</v>
      </c>
      <c r="I41" s="8">
        <f t="shared" si="2"/>
        <v>1</v>
      </c>
    </row>
    <row r="42" spans="2:9">
      <c r="B42" s="2">
        <v>15869</v>
      </c>
      <c r="C42" s="2" t="s">
        <v>94</v>
      </c>
      <c r="D42" s="13">
        <f>VLOOKUP(C42,BD!$A:$F,6,FALSE)</f>
        <v>45570.13</v>
      </c>
      <c r="E42" s="13">
        <f t="shared" si="0"/>
        <v>45570.13</v>
      </c>
      <c r="F42" s="5">
        <f>SUMIFS('results'!$E:$E,'results'!$A:$A,'Controle Odonto Limites'!C42)</f>
        <v>0</v>
      </c>
      <c r="G42" s="6">
        <f>SUMIFS('results'!$E:$E,'results'!$A:$A,'Controle Odonto Limites'!C42,results!$H:$H,"&gt;0")</f>
        <v>0</v>
      </c>
      <c r="H42" s="16">
        <f t="shared" si="1"/>
        <v>45570.13</v>
      </c>
      <c r="I42" s="8">
        <f t="shared" si="2"/>
        <v>1</v>
      </c>
    </row>
    <row r="43" spans="2:9">
      <c r="B43" s="2">
        <v>18776</v>
      </c>
      <c r="C43" s="2" t="s">
        <v>95</v>
      </c>
      <c r="D43" s="13">
        <f>VLOOKUP(C43,BD!$A:$F,6,FALSE)</f>
        <v>45630.879999999997</v>
      </c>
      <c r="E43" s="13">
        <f t="shared" si="0"/>
        <v>45630.879999999997</v>
      </c>
      <c r="F43" s="5">
        <f>SUMIFS('results'!$E:$E,'results'!$A:$A,'Controle Odonto Limites'!C43)</f>
        <v>0</v>
      </c>
      <c r="G43" s="6">
        <f>SUMIFS('results'!$E:$E,'results'!$A:$A,'Controle Odonto Limites'!C43,results!$H:$H,"&gt;0")</f>
        <v>0</v>
      </c>
      <c r="H43" s="16">
        <f t="shared" si="1"/>
        <v>45630.879999999997</v>
      </c>
      <c r="I43" s="8">
        <f t="shared" si="2"/>
        <v>1</v>
      </c>
    </row>
    <row r="44" spans="2:9">
      <c r="B44" s="2">
        <v>18735</v>
      </c>
      <c r="C44" s="2" t="s">
        <v>32</v>
      </c>
      <c r="D44" s="13">
        <f>VLOOKUP(C44,BD!$A:$F,6,FALSE)</f>
        <v>48199.05</v>
      </c>
      <c r="E44" s="13">
        <f t="shared" si="0"/>
        <v>48199.05</v>
      </c>
      <c r="F44" s="5">
        <f>SUMIFS('results'!$E:$E,'results'!$A:$A,'Controle Odonto Limites'!C44)</f>
        <v>10990.080000000004</v>
      </c>
      <c r="G44" s="6">
        <f>SUMIFS('results'!$E:$E,'results'!$A:$A,'Controle Odonto Limites'!C44,results!$H:$H,"&gt;0")</f>
        <v>0</v>
      </c>
      <c r="H44" s="16">
        <f t="shared" si="1"/>
        <v>37208.97</v>
      </c>
      <c r="I44" s="8">
        <f t="shared" si="2"/>
        <v>0.77198554743298875</v>
      </c>
    </row>
    <row r="45" spans="2:9">
      <c r="B45" s="2">
        <v>10580</v>
      </c>
      <c r="C45" s="2" t="s">
        <v>96</v>
      </c>
      <c r="D45" s="13">
        <f>VLOOKUP(C45,BD!$A:$F,6,FALSE)</f>
        <v>48732.61</v>
      </c>
      <c r="E45" s="13">
        <f t="shared" si="0"/>
        <v>48732.61</v>
      </c>
      <c r="F45" s="5">
        <f>SUMIFS('results'!$E:$E,'results'!$A:$A,'Controle Odonto Limites'!C45)</f>
        <v>0</v>
      </c>
      <c r="G45" s="6">
        <f>SUMIFS('results'!$E:$E,'results'!$A:$A,'Controle Odonto Limites'!C45,results!$H:$H,"&gt;0")</f>
        <v>0</v>
      </c>
      <c r="H45" s="16">
        <f t="shared" si="1"/>
        <v>48732.61</v>
      </c>
      <c r="I45" s="8">
        <f t="shared" si="2"/>
        <v>1</v>
      </c>
    </row>
    <row r="46" spans="2:9">
      <c r="B46" s="2">
        <v>17999</v>
      </c>
      <c r="C46" s="2" t="s">
        <v>35</v>
      </c>
      <c r="D46" s="13">
        <f>VLOOKUP(C46,BD!$A:$F,6,FALSE)</f>
        <v>48793.13</v>
      </c>
      <c r="E46" s="13">
        <f t="shared" si="0"/>
        <v>48793.13</v>
      </c>
      <c r="F46" s="5">
        <f>SUMIFS('results'!$E:$E,'results'!$A:$A,'Controle Odonto Limites'!C46)</f>
        <v>26651.879999999997</v>
      </c>
      <c r="G46" s="6">
        <f>SUMIFS('results'!$E:$E,'results'!$A:$A,'Controle Odonto Limites'!C46,results!$H:$H,"&gt;0")</f>
        <v>0</v>
      </c>
      <c r="H46" s="16">
        <f t="shared" si="1"/>
        <v>22141.25</v>
      </c>
      <c r="I46" s="8">
        <f t="shared" si="2"/>
        <v>0.45377802161902714</v>
      </c>
    </row>
    <row r="47" spans="2:9">
      <c r="B47" s="2">
        <v>16447</v>
      </c>
      <c r="C47" s="2" t="s">
        <v>97</v>
      </c>
      <c r="D47" s="13">
        <f>VLOOKUP(C47,BD!$A:$F,6,FALSE)</f>
        <v>49177.57</v>
      </c>
      <c r="E47" s="13">
        <f t="shared" si="0"/>
        <v>49177.57</v>
      </c>
      <c r="F47" s="5">
        <f>SUMIFS('results'!$E:$E,'results'!$A:$A,'Controle Odonto Limites'!C47)</f>
        <v>0</v>
      </c>
      <c r="G47" s="6">
        <f>SUMIFS('results'!$E:$E,'results'!$A:$A,'Controle Odonto Limites'!C47,results!$H:$H,"&gt;0")</f>
        <v>0</v>
      </c>
      <c r="H47" s="16">
        <f t="shared" si="1"/>
        <v>49177.57</v>
      </c>
      <c r="I47" s="8">
        <f t="shared" si="2"/>
        <v>1</v>
      </c>
    </row>
    <row r="48" spans="2:9">
      <c r="B48" s="2">
        <v>15266</v>
      </c>
      <c r="C48" s="2" t="s">
        <v>98</v>
      </c>
      <c r="D48" s="13">
        <f>VLOOKUP(C48,BD!$A:$F,6,FALSE)</f>
        <v>52348.01</v>
      </c>
      <c r="E48" s="13">
        <f t="shared" si="0"/>
        <v>52348.01</v>
      </c>
      <c r="F48" s="5">
        <f>SUMIFS('results'!$E:$E,'results'!$A:$A,'Controle Odonto Limites'!C48)</f>
        <v>0</v>
      </c>
      <c r="G48" s="6">
        <f>SUMIFS('results'!$E:$E,'results'!$A:$A,'Controle Odonto Limites'!C48,results!$H:$H,"&gt;0")</f>
        <v>0</v>
      </c>
      <c r="H48" s="16">
        <f t="shared" si="1"/>
        <v>52348.01</v>
      </c>
      <c r="I48" s="8">
        <f t="shared" si="2"/>
        <v>1</v>
      </c>
    </row>
    <row r="49" spans="2:9">
      <c r="B49" s="2">
        <v>2903</v>
      </c>
      <c r="C49" s="2" t="s">
        <v>8</v>
      </c>
      <c r="D49" s="13">
        <f>VLOOKUP(C49,BD!$A:$F,6,FALSE)</f>
        <v>55004.53</v>
      </c>
      <c r="E49" s="13">
        <f t="shared" si="0"/>
        <v>55004.53</v>
      </c>
      <c r="F49" s="5">
        <f>SUMIFS('results'!$E:$E,'results'!$A:$A,'Controle Odonto Limites'!C49)</f>
        <v>15129.810000000003</v>
      </c>
      <c r="G49" s="6">
        <f>SUMIFS('results'!$E:$E,'results'!$A:$A,'Controle Odonto Limites'!C49,results!$H:$H,"&gt;0")</f>
        <v>0</v>
      </c>
      <c r="H49" s="16">
        <f t="shared" si="1"/>
        <v>39874.719999999994</v>
      </c>
      <c r="I49" s="8">
        <f t="shared" si="2"/>
        <v>0.72493520079164375</v>
      </c>
    </row>
    <row r="50" spans="2:9">
      <c r="B50" s="2">
        <v>918</v>
      </c>
      <c r="C50" s="2" t="s">
        <v>99</v>
      </c>
      <c r="D50" s="13">
        <f>VLOOKUP(C50,BD!$A:$F,6,FALSE)</f>
        <v>57706.68</v>
      </c>
      <c r="E50" s="13">
        <f t="shared" si="0"/>
        <v>57706.68</v>
      </c>
      <c r="F50" s="5">
        <f>SUMIFS('results'!$E:$E,'results'!$A:$A,'Controle Odonto Limites'!C50)</f>
        <v>0</v>
      </c>
      <c r="G50" s="6">
        <f>SUMIFS('results'!$E:$E,'results'!$A:$A,'Controle Odonto Limites'!C50,results!$H:$H,"&gt;0")</f>
        <v>0</v>
      </c>
      <c r="H50" s="16">
        <f t="shared" si="1"/>
        <v>57706.68</v>
      </c>
      <c r="I50" s="8">
        <f t="shared" si="2"/>
        <v>1</v>
      </c>
    </row>
    <row r="51" spans="2:9">
      <c r="B51" s="2">
        <v>6454</v>
      </c>
      <c r="C51" s="2" t="s">
        <v>17</v>
      </c>
      <c r="D51" s="13">
        <f>VLOOKUP(C51,BD!$A:$F,6,FALSE)</f>
        <v>57752.28</v>
      </c>
      <c r="E51" s="13">
        <f t="shared" si="0"/>
        <v>57752.28</v>
      </c>
      <c r="F51" s="5">
        <f>SUMIFS('results'!$E:$E,'results'!$A:$A,'Controle Odonto Limites'!C51)</f>
        <v>43558.019999999946</v>
      </c>
      <c r="G51" s="6">
        <f>SUMIFS('results'!$E:$E,'results'!$A:$A,'Controle Odonto Limites'!C51,results!$H:$H,"&gt;0")</f>
        <v>0</v>
      </c>
      <c r="H51" s="16">
        <f t="shared" si="1"/>
        <v>14194.260000000053</v>
      </c>
      <c r="I51" s="8">
        <f t="shared" si="2"/>
        <v>0.24577834849117738</v>
      </c>
    </row>
    <row r="52" spans="2:9">
      <c r="B52" s="2">
        <v>10478</v>
      </c>
      <c r="C52" s="2" t="s">
        <v>100</v>
      </c>
      <c r="D52" s="13">
        <f>VLOOKUP(C52,BD!$A:$F,6,FALSE)</f>
        <v>57785.51</v>
      </c>
      <c r="E52" s="13">
        <f t="shared" si="0"/>
        <v>57785.51</v>
      </c>
      <c r="F52" s="5">
        <f>SUMIFS('results'!$E:$E,'results'!$A:$A,'Controle Odonto Limites'!C52)</f>
        <v>0</v>
      </c>
      <c r="G52" s="6">
        <f>SUMIFS('results'!$E:$E,'results'!$A:$A,'Controle Odonto Limites'!C52,results!$H:$H,"&gt;0")</f>
        <v>0</v>
      </c>
      <c r="H52" s="16">
        <f t="shared" si="1"/>
        <v>57785.51</v>
      </c>
      <c r="I52" s="8">
        <f t="shared" si="2"/>
        <v>1</v>
      </c>
    </row>
    <row r="53" spans="2:9">
      <c r="B53" s="2">
        <v>18111</v>
      </c>
      <c r="C53" s="2" t="s">
        <v>101</v>
      </c>
      <c r="D53" s="13">
        <f>VLOOKUP(C53,BD!$A:$F,6,FALSE)</f>
        <v>64093.29</v>
      </c>
      <c r="E53" s="13">
        <f t="shared" si="0"/>
        <v>64093.29</v>
      </c>
      <c r="F53" s="5">
        <f>SUMIFS('results'!$E:$E,'results'!$A:$A,'Controle Odonto Limites'!C53)</f>
        <v>0</v>
      </c>
      <c r="G53" s="6">
        <f>SUMIFS('results'!$E:$E,'results'!$A:$A,'Controle Odonto Limites'!C53,results!$H:$H,"&gt;0")</f>
        <v>0</v>
      </c>
      <c r="H53" s="16">
        <f t="shared" si="1"/>
        <v>64093.29</v>
      </c>
      <c r="I53" s="8">
        <f t="shared" si="2"/>
        <v>1</v>
      </c>
    </row>
    <row r="54" spans="2:9">
      <c r="B54" s="2">
        <v>18629</v>
      </c>
      <c r="C54" s="2" t="s">
        <v>102</v>
      </c>
      <c r="D54" s="13">
        <f>VLOOKUP(C54,BD!$A:$F,6,FALSE)</f>
        <v>68466.41</v>
      </c>
      <c r="E54" s="13">
        <f t="shared" si="0"/>
        <v>68466.41</v>
      </c>
      <c r="F54" s="5">
        <f>SUMIFS('results'!$E:$E,'results'!$A:$A,'Controle Odonto Limites'!C54)</f>
        <v>0</v>
      </c>
      <c r="G54" s="6">
        <f>SUMIFS('results'!$E:$E,'results'!$A:$A,'Controle Odonto Limites'!C54,results!$H:$H,"&gt;0")</f>
        <v>0</v>
      </c>
      <c r="H54" s="16">
        <f t="shared" si="1"/>
        <v>68466.41</v>
      </c>
      <c r="I54" s="8">
        <f t="shared" si="2"/>
        <v>1</v>
      </c>
    </row>
    <row r="55" spans="2:9">
      <c r="B55" s="2">
        <v>1355</v>
      </c>
      <c r="C55" s="2" t="s">
        <v>103</v>
      </c>
      <c r="D55" s="13">
        <f>VLOOKUP(C55,BD!$A:$F,6,FALSE)</f>
        <v>71099.81</v>
      </c>
      <c r="E55" s="13">
        <f t="shared" si="0"/>
        <v>71099.81</v>
      </c>
      <c r="F55" s="5">
        <f>SUMIFS('results'!$E:$E,'results'!$A:$A,'Controle Odonto Limites'!C55)</f>
        <v>0</v>
      </c>
      <c r="G55" s="6">
        <f>SUMIFS('results'!$E:$E,'results'!$A:$A,'Controle Odonto Limites'!C55,results!$H:$H,"&gt;0")</f>
        <v>0</v>
      </c>
      <c r="H55" s="16">
        <f t="shared" si="1"/>
        <v>71099.81</v>
      </c>
      <c r="I55" s="8">
        <f t="shared" si="2"/>
        <v>1</v>
      </c>
    </row>
    <row r="56" spans="2:9">
      <c r="B56" s="2">
        <v>12958</v>
      </c>
      <c r="C56" s="2" t="s">
        <v>23</v>
      </c>
      <c r="D56" s="13">
        <f>VLOOKUP(C56,BD!$A:$F,6,FALSE)</f>
        <v>72560.350000000006</v>
      </c>
      <c r="E56" s="13">
        <f t="shared" si="0"/>
        <v>72560.350000000006</v>
      </c>
      <c r="F56" s="5">
        <f>SUMIFS('results'!$E:$E,'results'!$A:$A,'Controle Odonto Limites'!C56)</f>
        <v>23421.829999999994</v>
      </c>
      <c r="G56" s="6">
        <f>SUMIFS('results'!$E:$E,'results'!$A:$A,'Controle Odonto Limites'!C56,results!$H:$H,"&gt;0")</f>
        <v>0</v>
      </c>
      <c r="H56" s="16">
        <f t="shared" si="1"/>
        <v>49138.520000000011</v>
      </c>
      <c r="I56" s="8">
        <f t="shared" si="2"/>
        <v>0.67720897156642723</v>
      </c>
    </row>
    <row r="57" spans="2:9">
      <c r="B57" s="2">
        <v>15549</v>
      </c>
      <c r="C57" s="2" t="s">
        <v>104</v>
      </c>
      <c r="D57" s="13">
        <f>VLOOKUP(C57,BD!$A:$F,6,FALSE)</f>
        <v>76270.240000000005</v>
      </c>
      <c r="E57" s="13">
        <f t="shared" si="0"/>
        <v>76270.240000000005</v>
      </c>
      <c r="F57" s="5">
        <f>SUMIFS('results'!$E:$E,'results'!$A:$A,'Controle Odonto Limites'!C57)</f>
        <v>0</v>
      </c>
      <c r="G57" s="6">
        <f>SUMIFS('results'!$E:$E,'results'!$A:$A,'Controle Odonto Limites'!C57,results!$H:$H,"&gt;0")</f>
        <v>0</v>
      </c>
      <c r="H57" s="16">
        <f t="shared" si="1"/>
        <v>76270.240000000005</v>
      </c>
      <c r="I57" s="8">
        <f t="shared" si="2"/>
        <v>1</v>
      </c>
    </row>
    <row r="58" spans="2:9">
      <c r="B58" s="2">
        <v>7574</v>
      </c>
      <c r="C58" s="2" t="s">
        <v>105</v>
      </c>
      <c r="D58" s="13">
        <f>VLOOKUP(C58,BD!$A:$F,6,FALSE)</f>
        <v>81757.81</v>
      </c>
      <c r="E58" s="13">
        <f t="shared" si="0"/>
        <v>81757.81</v>
      </c>
      <c r="F58" s="5">
        <f>SUMIFS('results'!$E:$E,'results'!$A:$A,'Controle Odonto Limites'!C58)</f>
        <v>0</v>
      </c>
      <c r="G58" s="6">
        <f>SUMIFS('results'!$E:$E,'results'!$A:$A,'Controle Odonto Limites'!C58,results!$H:$H,"&gt;0")</f>
        <v>0</v>
      </c>
      <c r="H58" s="16">
        <f t="shared" si="1"/>
        <v>81757.81</v>
      </c>
      <c r="I58" s="8">
        <f t="shared" si="2"/>
        <v>1</v>
      </c>
    </row>
    <row r="59" spans="2:9">
      <c r="B59" s="2">
        <v>10018</v>
      </c>
      <c r="C59" s="2" t="s">
        <v>106</v>
      </c>
      <c r="D59" s="13">
        <f>VLOOKUP(C59,BD!$A:$F,6,FALSE)</f>
        <v>84860.6</v>
      </c>
      <c r="E59" s="13">
        <f t="shared" si="0"/>
        <v>84860.6</v>
      </c>
      <c r="F59" s="5">
        <f>SUMIFS('results'!$E:$E,'results'!$A:$A,'Controle Odonto Limites'!C59)</f>
        <v>0</v>
      </c>
      <c r="G59" s="6">
        <f>SUMIFS('results'!$E:$E,'results'!$A:$A,'Controle Odonto Limites'!C59,results!$H:$H,"&gt;0")</f>
        <v>0</v>
      </c>
      <c r="H59" s="16">
        <f t="shared" si="1"/>
        <v>84860.6</v>
      </c>
      <c r="I59" s="8">
        <f t="shared" si="2"/>
        <v>1</v>
      </c>
    </row>
    <row r="60" spans="2:9">
      <c r="B60" s="2">
        <v>16199</v>
      </c>
      <c r="C60" s="2" t="s">
        <v>26</v>
      </c>
      <c r="D60" s="13">
        <f>VLOOKUP(C60,BD!$A:$F,6,FALSE)</f>
        <v>86405.24</v>
      </c>
      <c r="E60" s="13">
        <f t="shared" si="0"/>
        <v>86405.24</v>
      </c>
      <c r="F60" s="5">
        <f>SUMIFS('results'!$E:$E,'results'!$A:$A,'Controle Odonto Limites'!C60)</f>
        <v>85695.760000000053</v>
      </c>
      <c r="G60" s="6">
        <f>SUMIFS('results'!$E:$E,'results'!$A:$A,'Controle Odonto Limites'!C60,results!$H:$H,"&gt;0")</f>
        <v>0</v>
      </c>
      <c r="H60" s="16">
        <f t="shared" si="1"/>
        <v>709.47999999995227</v>
      </c>
      <c r="I60" s="8">
        <f t="shared" si="2"/>
        <v>8.2110760875145107E-3</v>
      </c>
    </row>
    <row r="61" spans="2:9">
      <c r="B61" s="2">
        <v>16448</v>
      </c>
      <c r="C61" s="2" t="s">
        <v>107</v>
      </c>
      <c r="D61" s="13">
        <f>VLOOKUP(C61,BD!$A:$F,6,FALSE)</f>
        <v>89633.02</v>
      </c>
      <c r="E61" s="13">
        <f t="shared" si="0"/>
        <v>89633.02</v>
      </c>
      <c r="F61" s="5">
        <f>SUMIFS('results'!$E:$E,'results'!$A:$A,'Controle Odonto Limites'!C61)</f>
        <v>0</v>
      </c>
      <c r="G61" s="6">
        <f>SUMIFS('results'!$E:$E,'results'!$A:$A,'Controle Odonto Limites'!C61,results!$H:$H,"&gt;0")</f>
        <v>0</v>
      </c>
      <c r="H61" s="16">
        <f t="shared" si="1"/>
        <v>89633.02</v>
      </c>
      <c r="I61" s="8">
        <f t="shared" si="2"/>
        <v>1</v>
      </c>
    </row>
    <row r="62" spans="2:9">
      <c r="B62" s="2">
        <v>16051</v>
      </c>
      <c r="C62" s="2" t="s">
        <v>108</v>
      </c>
      <c r="D62" s="13">
        <f>VLOOKUP(C62,BD!$A:$F,6,FALSE)</f>
        <v>90806.9</v>
      </c>
      <c r="E62" s="13">
        <f t="shared" si="0"/>
        <v>90806.9</v>
      </c>
      <c r="F62" s="5">
        <f>SUMIFS('results'!$E:$E,'results'!$A:$A,'Controle Odonto Limites'!C62)</f>
        <v>0</v>
      </c>
      <c r="G62" s="6">
        <f>SUMIFS('results'!$E:$E,'results'!$A:$A,'Controle Odonto Limites'!C62,results!$H:$H,"&gt;0")</f>
        <v>0</v>
      </c>
      <c r="H62" s="16">
        <f t="shared" si="1"/>
        <v>90806.9</v>
      </c>
      <c r="I62" s="8">
        <f t="shared" si="2"/>
        <v>1</v>
      </c>
    </row>
    <row r="63" spans="2:9">
      <c r="B63" s="2">
        <v>5934</v>
      </c>
      <c r="C63" s="2" t="s">
        <v>109</v>
      </c>
      <c r="D63" s="13">
        <f>VLOOKUP(C63,BD!$A:$F,6,FALSE)</f>
        <v>100029.85</v>
      </c>
      <c r="E63" s="13">
        <f t="shared" si="0"/>
        <v>100000</v>
      </c>
      <c r="F63" s="5">
        <f>SUMIFS('results'!$E:$E,'results'!$A:$A,'Controle Odonto Limites'!C63)</f>
        <v>0</v>
      </c>
      <c r="G63" s="6">
        <f>SUMIFS('results'!$E:$E,'results'!$A:$A,'Controle Odonto Limites'!C63,results!$H:$H,"&gt;0")</f>
        <v>0</v>
      </c>
      <c r="H63" s="16">
        <f t="shared" si="1"/>
        <v>100000</v>
      </c>
      <c r="I63" s="8">
        <f t="shared" si="2"/>
        <v>1</v>
      </c>
    </row>
    <row r="64" spans="2:9">
      <c r="B64" s="2">
        <v>10557</v>
      </c>
      <c r="C64" s="2" t="s">
        <v>110</v>
      </c>
      <c r="D64" s="13">
        <f>VLOOKUP(C64,BD!$A:$F,6,FALSE)</f>
        <v>110281.93</v>
      </c>
      <c r="E64" s="13">
        <f t="shared" si="0"/>
        <v>100000</v>
      </c>
      <c r="F64" s="5">
        <f>SUMIFS('results'!$E:$E,'results'!$A:$A,'Controle Odonto Limites'!C64)</f>
        <v>0</v>
      </c>
      <c r="G64" s="6">
        <f>SUMIFS('results'!$E:$E,'results'!$A:$A,'Controle Odonto Limites'!C64,results!$H:$H,"&gt;0")</f>
        <v>0</v>
      </c>
      <c r="H64" s="16">
        <f t="shared" si="1"/>
        <v>100000</v>
      </c>
      <c r="I64" s="8">
        <f t="shared" si="2"/>
        <v>1</v>
      </c>
    </row>
    <row r="65" spans="2:9">
      <c r="B65" s="2">
        <v>1336</v>
      </c>
      <c r="C65" s="2" t="s">
        <v>111</v>
      </c>
      <c r="D65" s="13">
        <f>VLOOKUP(C65,BD!$A:$F,6,FALSE)</f>
        <v>124501.04</v>
      </c>
      <c r="E65" s="13">
        <f t="shared" si="0"/>
        <v>100000</v>
      </c>
      <c r="F65" s="5">
        <f>SUMIFS('results'!$E:$E,'results'!$A:$A,'Controle Odonto Limites'!C65)</f>
        <v>0</v>
      </c>
      <c r="G65" s="6">
        <f>SUMIFS('results'!$E:$E,'results'!$A:$A,'Controle Odonto Limites'!C65,results!$H:$H,"&gt;0")</f>
        <v>0</v>
      </c>
      <c r="H65" s="16">
        <f t="shared" si="1"/>
        <v>100000</v>
      </c>
      <c r="I65" s="8">
        <f t="shared" si="2"/>
        <v>1</v>
      </c>
    </row>
    <row r="66" spans="2:9">
      <c r="B66" s="2">
        <v>7881</v>
      </c>
      <c r="C66" s="2" t="s">
        <v>112</v>
      </c>
      <c r="D66" s="13">
        <f>VLOOKUP(C66,BD!$A:$F,6,FALSE)</f>
        <v>130515.02</v>
      </c>
      <c r="E66" s="13">
        <f t="shared" si="0"/>
        <v>100000</v>
      </c>
      <c r="F66" s="5">
        <f>SUMIFS('results'!$E:$E,'results'!$A:$A,'Controle Odonto Limites'!C66)</f>
        <v>0</v>
      </c>
      <c r="G66" s="6">
        <f>SUMIFS('results'!$E:$E,'results'!$A:$A,'Controle Odonto Limites'!C66,results!$H:$H,"&gt;0")</f>
        <v>0</v>
      </c>
      <c r="H66" s="16">
        <f t="shared" si="1"/>
        <v>100000</v>
      </c>
      <c r="I66" s="8">
        <f t="shared" si="2"/>
        <v>1</v>
      </c>
    </row>
    <row r="67" spans="2:9">
      <c r="B67" s="2">
        <v>3003</v>
      </c>
      <c r="C67" s="2" t="s">
        <v>113</v>
      </c>
      <c r="D67" s="13">
        <f>VLOOKUP(C67,BD!$A:$F,6,FALSE)</f>
        <v>137145.31</v>
      </c>
      <c r="E67" s="13">
        <f t="shared" si="0"/>
        <v>100000</v>
      </c>
      <c r="F67" s="5">
        <f>SUMIFS('results'!$E:$E,'results'!$A:$A,'Controle Odonto Limites'!C67)</f>
        <v>0</v>
      </c>
      <c r="G67" s="6">
        <f>SUMIFS('results'!$E:$E,'results'!$A:$A,'Controle Odonto Limites'!C67,results!$H:$H,"&gt;0")</f>
        <v>0</v>
      </c>
      <c r="H67" s="16">
        <f t="shared" si="1"/>
        <v>100000</v>
      </c>
      <c r="I67" s="8">
        <f t="shared" si="2"/>
        <v>1</v>
      </c>
    </row>
    <row r="68" spans="2:9">
      <c r="B68" s="2">
        <v>5901</v>
      </c>
      <c r="C68" s="2" t="s">
        <v>114</v>
      </c>
      <c r="D68" s="13">
        <f>VLOOKUP(C68,BD!$A:$F,6,FALSE)</f>
        <v>139372.25</v>
      </c>
      <c r="E68" s="13">
        <f t="shared" ref="E68:E82" si="3">IF(D68&gt;100000,100000,D68)</f>
        <v>100000</v>
      </c>
      <c r="F68" s="5">
        <f>SUMIFS('results'!$E:$E,'results'!$A:$A,'Controle Odonto Limites'!C68)</f>
        <v>0</v>
      </c>
      <c r="G68" s="6">
        <f>SUMIFS('results'!$E:$E,'results'!$A:$A,'Controle Odonto Limites'!C68,results!$H:$H,"&gt;0")</f>
        <v>0</v>
      </c>
      <c r="H68" s="16">
        <f t="shared" ref="H68:H82" si="4">E68-F68+G68</f>
        <v>100000</v>
      </c>
      <c r="I68" s="8">
        <f t="shared" ref="I68:I82" si="5">H68/E68</f>
        <v>1</v>
      </c>
    </row>
    <row r="69" spans="2:9">
      <c r="B69" s="2">
        <v>3131</v>
      </c>
      <c r="C69" s="2" t="s">
        <v>20</v>
      </c>
      <c r="D69" s="13">
        <f>VLOOKUP(C69,BD!$A:$F,6,FALSE)</f>
        <v>152331.39000000001</v>
      </c>
      <c r="E69" s="13">
        <f t="shared" si="3"/>
        <v>100000</v>
      </c>
      <c r="F69" s="5">
        <f>SUMIFS('results'!$E:$E,'results'!$A:$A,'Controle Odonto Limites'!C69)</f>
        <v>33396.349999999962</v>
      </c>
      <c r="G69" s="6">
        <f>SUMIFS('results'!$E:$E,'results'!$A:$A,'Controle Odonto Limites'!C69,results!$H:$H,"&gt;0")</f>
        <v>0</v>
      </c>
      <c r="H69" s="16">
        <f t="shared" si="4"/>
        <v>66603.650000000038</v>
      </c>
      <c r="I69" s="8">
        <f t="shared" si="5"/>
        <v>0.66603650000000036</v>
      </c>
    </row>
    <row r="70" spans="2:9">
      <c r="B70" s="2">
        <v>12479</v>
      </c>
      <c r="C70" s="2" t="s">
        <v>115</v>
      </c>
      <c r="D70" s="13">
        <f>VLOOKUP(C70,BD!$A:$F,6,FALSE)</f>
        <v>158288.70000000001</v>
      </c>
      <c r="E70" s="13">
        <f t="shared" si="3"/>
        <v>100000</v>
      </c>
      <c r="F70" s="5">
        <f>SUMIFS('results'!$E:$E,'results'!$A:$A,'Controle Odonto Limites'!C70)</f>
        <v>0</v>
      </c>
      <c r="G70" s="6">
        <f>SUMIFS('results'!$E:$E,'results'!$A:$A,'Controle Odonto Limites'!C70,results!$H:$H,"&gt;0")</f>
        <v>0</v>
      </c>
      <c r="H70" s="16">
        <f t="shared" si="4"/>
        <v>100000</v>
      </c>
      <c r="I70" s="8">
        <f t="shared" si="5"/>
        <v>1</v>
      </c>
    </row>
    <row r="71" spans="2:9">
      <c r="B71" s="2">
        <v>8529</v>
      </c>
      <c r="C71" s="2" t="s">
        <v>116</v>
      </c>
      <c r="D71" s="13">
        <f>VLOOKUP(C71,BD!$A:$F,6,FALSE)</f>
        <v>174114.98</v>
      </c>
      <c r="E71" s="13">
        <f t="shared" si="3"/>
        <v>100000</v>
      </c>
      <c r="F71" s="5">
        <f>SUMIFS('results'!$E:$E,'results'!$A:$A,'Controle Odonto Limites'!C71)</f>
        <v>0</v>
      </c>
      <c r="G71" s="6">
        <f>SUMIFS('results'!$E:$E,'results'!$A:$A,'Controle Odonto Limites'!C71,results!$H:$H,"&gt;0")</f>
        <v>0</v>
      </c>
      <c r="H71" s="16">
        <f t="shared" si="4"/>
        <v>100000</v>
      </c>
      <c r="I71" s="8">
        <f t="shared" si="5"/>
        <v>1</v>
      </c>
    </row>
    <row r="72" spans="2:9">
      <c r="B72" s="2">
        <v>8868</v>
      </c>
      <c r="C72" s="2" t="s">
        <v>117</v>
      </c>
      <c r="D72" s="13">
        <f>VLOOKUP(C72,BD!$A:$F,6,FALSE)</f>
        <v>192609.21</v>
      </c>
      <c r="E72" s="13">
        <f t="shared" si="3"/>
        <v>100000</v>
      </c>
      <c r="F72" s="5">
        <f>SUMIFS('results'!$E:$E,'results'!$A:$A,'Controle Odonto Limites'!C72)</f>
        <v>0</v>
      </c>
      <c r="G72" s="6">
        <f>SUMIFS('results'!$E:$E,'results'!$A:$A,'Controle Odonto Limites'!C72,results!$H:$H,"&gt;0")</f>
        <v>0</v>
      </c>
      <c r="H72" s="16">
        <f t="shared" si="4"/>
        <v>100000</v>
      </c>
      <c r="I72" s="8">
        <f t="shared" si="5"/>
        <v>1</v>
      </c>
    </row>
    <row r="73" spans="2:9">
      <c r="B73" s="2">
        <v>2489</v>
      </c>
      <c r="C73" s="2" t="s">
        <v>118</v>
      </c>
      <c r="D73" s="13">
        <f>VLOOKUP(C73,BD!$A:$F,6,FALSE)</f>
        <v>197102.88</v>
      </c>
      <c r="E73" s="13">
        <f t="shared" si="3"/>
        <v>100000</v>
      </c>
      <c r="F73" s="5">
        <f>SUMIFS('results'!$E:$E,'results'!$A:$A,'Controle Odonto Limites'!C73)</f>
        <v>0</v>
      </c>
      <c r="G73" s="6">
        <f>SUMIFS('results'!$E:$E,'results'!$A:$A,'Controle Odonto Limites'!C73,results!$H:$H,"&gt;0")</f>
        <v>0</v>
      </c>
      <c r="H73" s="16">
        <f t="shared" si="4"/>
        <v>100000</v>
      </c>
      <c r="I73" s="8">
        <f t="shared" si="5"/>
        <v>1</v>
      </c>
    </row>
    <row r="74" spans="2:9">
      <c r="B74" s="2">
        <v>14998</v>
      </c>
      <c r="C74" s="2" t="s">
        <v>119</v>
      </c>
      <c r="D74" s="13">
        <f>VLOOKUP(C74,BD!$A:$F,6,FALSE)</f>
        <v>224743.3</v>
      </c>
      <c r="E74" s="13">
        <f t="shared" si="3"/>
        <v>100000</v>
      </c>
      <c r="F74" s="5">
        <f>SUMIFS('results'!$E:$E,'results'!$A:$A,'Controle Odonto Limites'!C74)</f>
        <v>0</v>
      </c>
      <c r="G74" s="6">
        <f>SUMIFS('results'!$E:$E,'results'!$A:$A,'Controle Odonto Limites'!C74,results!$H:$H,"&gt;0")</f>
        <v>0</v>
      </c>
      <c r="H74" s="16">
        <f t="shared" si="4"/>
        <v>100000</v>
      </c>
      <c r="I74" s="8">
        <f t="shared" si="5"/>
        <v>1</v>
      </c>
    </row>
    <row r="75" spans="2:9">
      <c r="B75" s="2">
        <v>13292</v>
      </c>
      <c r="C75" s="2" t="s">
        <v>47</v>
      </c>
      <c r="D75" s="13">
        <f>VLOOKUP(C75,BD!$A:$F,6,FALSE)</f>
        <v>227529.53</v>
      </c>
      <c r="E75" s="13">
        <f t="shared" si="3"/>
        <v>100000</v>
      </c>
      <c r="F75" s="5">
        <f>SUMIFS('results'!$E:$E,'results'!$A:$A,'Controle Odonto Limites'!C75)</f>
        <v>45320.769999999982</v>
      </c>
      <c r="G75" s="6">
        <f>SUMIFS('results'!$E:$E,'results'!$A:$A,'Controle Odonto Limites'!C75,results!$H:$H,"&gt;0")</f>
        <v>0</v>
      </c>
      <c r="H75" s="16">
        <f t="shared" si="4"/>
        <v>54679.230000000018</v>
      </c>
      <c r="I75" s="8">
        <f t="shared" si="5"/>
        <v>0.54679230000000023</v>
      </c>
    </row>
    <row r="76" spans="2:9">
      <c r="B76" s="2">
        <v>12271</v>
      </c>
      <c r="C76" s="2" t="s">
        <v>120</v>
      </c>
      <c r="D76" s="13">
        <f>VLOOKUP(C76,BD!$A:$F,6,FALSE)</f>
        <v>450104.8</v>
      </c>
      <c r="E76" s="13">
        <f t="shared" si="3"/>
        <v>100000</v>
      </c>
      <c r="F76" s="5">
        <f>SUMIFS('results'!$E:$E,'results'!$A:$A,'Controle Odonto Limites'!C76)</f>
        <v>0</v>
      </c>
      <c r="G76" s="6">
        <f>SUMIFS('results'!$E:$E,'results'!$A:$A,'Controle Odonto Limites'!C76,results!$H:$H,"&gt;0")</f>
        <v>0</v>
      </c>
      <c r="H76" s="16">
        <f t="shared" si="4"/>
        <v>100000</v>
      </c>
      <c r="I76" s="8">
        <f t="shared" si="5"/>
        <v>1</v>
      </c>
    </row>
    <row r="77" spans="2:9">
      <c r="B77" s="2">
        <v>17175</v>
      </c>
      <c r="C77" s="2" t="s">
        <v>121</v>
      </c>
      <c r="D77" s="13">
        <f>VLOOKUP(C77,BD!$A:$F,6,FALSE)</f>
        <v>2459.1999999999998</v>
      </c>
      <c r="E77" s="13">
        <f t="shared" si="3"/>
        <v>2459.1999999999998</v>
      </c>
      <c r="F77" s="5">
        <f>SUMIFS('results'!$E:$E,'results'!$A:$A,'Controle Odonto Limites'!C77)</f>
        <v>0</v>
      </c>
      <c r="G77" s="6">
        <f>SUMIFS('results'!$E:$E,'results'!$A:$A,'Controle Odonto Limites'!C77,results!$H:$H,"&gt;0")</f>
        <v>0</v>
      </c>
      <c r="H77" s="16">
        <f t="shared" si="4"/>
        <v>2459.1999999999998</v>
      </c>
      <c r="I77" s="8">
        <f t="shared" si="5"/>
        <v>1</v>
      </c>
    </row>
    <row r="78" spans="2:9">
      <c r="B78" s="2">
        <v>12558</v>
      </c>
      <c r="C78" s="2" t="s">
        <v>122</v>
      </c>
      <c r="D78" s="13">
        <f>VLOOKUP(C78,BD!$A:$F,6,FALSE)</f>
        <v>3844.82</v>
      </c>
      <c r="E78" s="13">
        <f t="shared" si="3"/>
        <v>3844.82</v>
      </c>
      <c r="F78" s="5">
        <f>SUMIFS('results'!$E:$E,'results'!$A:$A,'Controle Odonto Limites'!C78)</f>
        <v>0</v>
      </c>
      <c r="G78" s="6">
        <f>SUMIFS('results'!$E:$E,'results'!$A:$A,'Controle Odonto Limites'!C78,results!$H:$H,"&gt;0")</f>
        <v>0</v>
      </c>
      <c r="H78" s="16">
        <f t="shared" si="4"/>
        <v>3844.82</v>
      </c>
      <c r="I78" s="8">
        <f t="shared" si="5"/>
        <v>1</v>
      </c>
    </row>
    <row r="79" spans="2:9">
      <c r="B79" s="2">
        <v>19229</v>
      </c>
      <c r="C79" s="2" t="s">
        <v>123</v>
      </c>
      <c r="D79" s="13">
        <f>VLOOKUP(C79,BD!$A:$F,6,FALSE)</f>
        <v>4728.83</v>
      </c>
      <c r="E79" s="13">
        <f t="shared" si="3"/>
        <v>4728.83</v>
      </c>
      <c r="F79" s="5">
        <f>SUMIFS('results'!$E:$E,'results'!$A:$A,'Controle Odonto Limites'!C79)</f>
        <v>0</v>
      </c>
      <c r="G79" s="6">
        <f>SUMIFS('results'!$E:$E,'results'!$A:$A,'Controle Odonto Limites'!C79,results!$H:$H,"&gt;0")</f>
        <v>0</v>
      </c>
      <c r="H79" s="16">
        <f t="shared" si="4"/>
        <v>4728.83</v>
      </c>
      <c r="I79" s="8">
        <f t="shared" si="5"/>
        <v>1</v>
      </c>
    </row>
    <row r="80" spans="2:9">
      <c r="B80" s="2">
        <v>17764</v>
      </c>
      <c r="C80" s="2" t="s">
        <v>124</v>
      </c>
      <c r="D80" s="13">
        <f>VLOOKUP(C80,BD!$A:$F,6,FALSE)</f>
        <v>1005.47</v>
      </c>
      <c r="E80" s="13">
        <f t="shared" si="3"/>
        <v>1005.47</v>
      </c>
      <c r="F80" s="5">
        <f>SUMIFS('results'!$E:$E,'results'!$A:$A,'Controle Odonto Limites'!C80)</f>
        <v>0</v>
      </c>
      <c r="G80" s="6">
        <f>SUMIFS('results'!$E:$E,'results'!$A:$A,'Controle Odonto Limites'!C80,results!$H:$H,"&gt;0")</f>
        <v>0</v>
      </c>
      <c r="H80" s="16">
        <f t="shared" si="4"/>
        <v>1005.47</v>
      </c>
      <c r="I80" s="8">
        <f t="shared" si="5"/>
        <v>1</v>
      </c>
    </row>
    <row r="81" spans="2:9">
      <c r="B81" s="2">
        <v>14248</v>
      </c>
      <c r="C81" s="2" t="s">
        <v>125</v>
      </c>
      <c r="D81" s="13">
        <f>VLOOKUP(C81,BD!$A:$F,6,FALSE)</f>
        <v>15477.76</v>
      </c>
      <c r="E81" s="13">
        <f t="shared" si="3"/>
        <v>15477.76</v>
      </c>
      <c r="F81" s="5">
        <f>SUMIFS('results'!$E:$E,'results'!$A:$A,'Controle Odonto Limites'!C81)</f>
        <v>0</v>
      </c>
      <c r="G81" s="6">
        <f>SUMIFS('results'!$E:$E,'results'!$A:$A,'Controle Odonto Limites'!C81,results!$H:$H,"&gt;0")</f>
        <v>0</v>
      </c>
      <c r="H81" s="16">
        <f t="shared" si="4"/>
        <v>15477.76</v>
      </c>
      <c r="I81" s="8">
        <f t="shared" si="5"/>
        <v>1</v>
      </c>
    </row>
    <row r="82" spans="2:9">
      <c r="B82" s="2">
        <v>7949</v>
      </c>
      <c r="C82" s="2" t="s">
        <v>126</v>
      </c>
      <c r="D82" s="13">
        <f>VLOOKUP(C82,BD!$A:$F,6,FALSE)</f>
        <v>15893.19</v>
      </c>
      <c r="E82" s="13">
        <f t="shared" si="3"/>
        <v>15893.19</v>
      </c>
      <c r="F82" s="5">
        <f>SUMIFS('results'!$E:$E,'results'!$A:$A,'Controle Odonto Limites'!C82)</f>
        <v>0</v>
      </c>
      <c r="G82" s="6">
        <f>SUMIFS('results'!$E:$E,'results'!$A:$A,'Controle Odonto Limites'!C82,results!$H:$H,"&gt;0")</f>
        <v>0</v>
      </c>
      <c r="H82" s="16">
        <f t="shared" si="4"/>
        <v>15893.19</v>
      </c>
      <c r="I82" s="8">
        <f t="shared" si="5"/>
        <v>1</v>
      </c>
    </row>
    <row r="83" spans="2:9">
      <c r="F83" s="5"/>
      <c r="G83" s="6"/>
      <c r="H83" s="7"/>
      <c r="I83" s="8"/>
    </row>
  </sheetData>
  <autoFilter ref="B2:I82" xr:uid="{4B43A8B1-BDB6-475E-95CA-B6BD4F28E5F0}"/>
  <conditionalFormatting sqref="I3:I8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A233-1AE2-49BC-81EE-CCA827394632}">
  <dimension ref="A1:G81"/>
  <sheetViews>
    <sheetView workbookViewId="0">
      <selection activeCell="D14" sqref="D14"/>
    </sheetView>
  </sheetViews>
  <sheetFormatPr defaultRowHeight="13.9"/>
  <cols>
    <col min="1" max="1" width="20.28515625" bestFit="1" customWidth="1"/>
    <col min="2" max="2" width="41.7109375" bestFit="1" customWidth="1"/>
    <col min="3" max="3" width="7" bestFit="1" customWidth="1"/>
    <col min="4" max="4" width="22.140625" bestFit="1" customWidth="1"/>
    <col min="5" max="5" width="26.42578125" bestFit="1" customWidth="1"/>
    <col min="6" max="6" width="16.140625" bestFit="1" customWidth="1"/>
    <col min="7" max="7" width="33.140625" bestFit="1" customWidth="1"/>
  </cols>
  <sheetData>
    <row r="1" spans="1:7" ht="15">
      <c r="A1" s="11" t="s">
        <v>127</v>
      </c>
      <c r="B1" s="11" t="s">
        <v>128</v>
      </c>
      <c r="C1" s="11" t="s">
        <v>129</v>
      </c>
      <c r="D1" s="11" t="s">
        <v>130</v>
      </c>
      <c r="E1" s="11" t="s">
        <v>131</v>
      </c>
      <c r="F1" s="11" t="s">
        <v>132</v>
      </c>
      <c r="G1" s="11" t="s">
        <v>133</v>
      </c>
    </row>
    <row r="2" spans="1:7" ht="15">
      <c r="A2" s="11" t="s">
        <v>106</v>
      </c>
      <c r="B2" s="11" t="s">
        <v>134</v>
      </c>
      <c r="C2" s="11">
        <v>10018</v>
      </c>
      <c r="D2" s="14">
        <v>282826.59999999998</v>
      </c>
      <c r="E2" s="15">
        <v>0.10100000000000001</v>
      </c>
      <c r="F2" s="14">
        <v>84860.6</v>
      </c>
      <c r="G2" s="14">
        <v>3742048.57</v>
      </c>
    </row>
    <row r="3" spans="1:7" ht="15">
      <c r="A3" s="11" t="s">
        <v>82</v>
      </c>
      <c r="B3" s="11" t="s">
        <v>135</v>
      </c>
      <c r="C3" s="11">
        <v>10093</v>
      </c>
      <c r="D3" s="14">
        <v>71726.47</v>
      </c>
      <c r="E3" s="15">
        <v>0.187</v>
      </c>
      <c r="F3" s="14">
        <v>27012.5</v>
      </c>
      <c r="G3" s="14">
        <v>1504083.9</v>
      </c>
    </row>
    <row r="4" spans="1:7" ht="15">
      <c r="A4" s="11" t="s">
        <v>65</v>
      </c>
      <c r="B4" s="11" t="s">
        <v>136</v>
      </c>
      <c r="C4" s="11">
        <v>10244</v>
      </c>
      <c r="D4" s="14">
        <v>28931.86</v>
      </c>
      <c r="E4" s="15">
        <v>3.6999999999999998E-2</v>
      </c>
      <c r="F4" s="14">
        <v>10592.43</v>
      </c>
      <c r="G4" s="14">
        <v>462274.67</v>
      </c>
    </row>
    <row r="5" spans="1:7" ht="15">
      <c r="A5" s="11" t="s">
        <v>100</v>
      </c>
      <c r="B5" s="11" t="s">
        <v>137</v>
      </c>
      <c r="C5" s="11">
        <v>10478</v>
      </c>
      <c r="D5" s="14">
        <v>211850</v>
      </c>
      <c r="E5" s="15">
        <v>6.6000000000000003E-2</v>
      </c>
      <c r="F5" s="14">
        <v>57785.51</v>
      </c>
      <c r="G5" s="14">
        <v>1489784.35</v>
      </c>
    </row>
    <row r="6" spans="1:7" ht="15">
      <c r="A6" s="11" t="s">
        <v>110</v>
      </c>
      <c r="B6" s="11" t="s">
        <v>138</v>
      </c>
      <c r="C6" s="11">
        <v>10557</v>
      </c>
      <c r="D6" s="14">
        <v>220398.32</v>
      </c>
      <c r="E6" s="15">
        <v>3.2000000000000001E-2</v>
      </c>
      <c r="F6" s="14">
        <v>110281.93</v>
      </c>
      <c r="G6" s="14">
        <v>4017491.26</v>
      </c>
    </row>
    <row r="7" spans="1:7" ht="15">
      <c r="A7" s="11" t="s">
        <v>96</v>
      </c>
      <c r="B7" s="11" t="s">
        <v>139</v>
      </c>
      <c r="C7" s="11">
        <v>10580</v>
      </c>
      <c r="D7" s="14">
        <v>53096</v>
      </c>
      <c r="E7" s="15">
        <v>0</v>
      </c>
      <c r="F7" s="14">
        <v>48732.61</v>
      </c>
      <c r="G7" s="14">
        <v>536416.11</v>
      </c>
    </row>
    <row r="8" spans="1:7" ht="15">
      <c r="A8" s="11" t="s">
        <v>79</v>
      </c>
      <c r="B8" s="11" t="s">
        <v>140</v>
      </c>
      <c r="C8" s="11">
        <v>12003</v>
      </c>
      <c r="D8" s="14">
        <v>57500.12</v>
      </c>
      <c r="E8" s="15">
        <v>8.5999999999999993E-2</v>
      </c>
      <c r="F8" s="14">
        <v>23816.080000000002</v>
      </c>
      <c r="G8" s="14">
        <v>1168109.31</v>
      </c>
    </row>
    <row r="9" spans="1:7" ht="15">
      <c r="A9" s="11" t="s">
        <v>120</v>
      </c>
      <c r="B9" s="11" t="s">
        <v>141</v>
      </c>
      <c r="C9" s="11">
        <v>12271</v>
      </c>
      <c r="D9" s="14">
        <v>775773.62</v>
      </c>
      <c r="E9" s="15">
        <v>1.4E-2</v>
      </c>
      <c r="F9" s="14">
        <v>450104.8</v>
      </c>
      <c r="G9" s="14">
        <v>6506423.7000000002</v>
      </c>
    </row>
    <row r="10" spans="1:7" ht="15">
      <c r="A10" s="11" t="s">
        <v>67</v>
      </c>
      <c r="B10" s="11" t="s">
        <v>142</v>
      </c>
      <c r="C10" s="11">
        <v>12359</v>
      </c>
      <c r="D10" s="14">
        <v>49390</v>
      </c>
      <c r="E10" s="15">
        <v>5.8999999999999997E-2</v>
      </c>
      <c r="F10" s="14">
        <v>12293.82</v>
      </c>
      <c r="G10" s="14">
        <v>594694.76</v>
      </c>
    </row>
    <row r="11" spans="1:7" ht="15">
      <c r="A11" s="11" t="s">
        <v>76</v>
      </c>
      <c r="B11" s="11" t="s">
        <v>143</v>
      </c>
      <c r="C11" s="11">
        <v>1243</v>
      </c>
      <c r="D11" s="14">
        <v>79093.52</v>
      </c>
      <c r="E11" s="15">
        <v>5.8000000000000003E-2</v>
      </c>
      <c r="F11" s="14">
        <v>20718.16</v>
      </c>
      <c r="G11" s="14">
        <v>980037.77</v>
      </c>
    </row>
    <row r="12" spans="1:7" ht="15">
      <c r="A12" s="11" t="s">
        <v>115</v>
      </c>
      <c r="B12" s="11" t="s">
        <v>144</v>
      </c>
      <c r="C12" s="11">
        <v>12479</v>
      </c>
      <c r="D12" s="14">
        <v>145747.70000000001</v>
      </c>
      <c r="E12" s="15">
        <v>2E-3</v>
      </c>
      <c r="F12" s="14">
        <v>158288.70000000001</v>
      </c>
      <c r="G12" s="14">
        <v>1925766.08</v>
      </c>
    </row>
    <row r="13" spans="1:7" ht="15">
      <c r="A13" s="11" t="s">
        <v>122</v>
      </c>
      <c r="B13" s="11" t="s">
        <v>145</v>
      </c>
      <c r="C13" s="11">
        <v>12558</v>
      </c>
      <c r="D13" s="14">
        <v>15484.59</v>
      </c>
      <c r="E13" s="15">
        <v>5.0999999999999997E-2</v>
      </c>
      <c r="F13" s="14">
        <v>3844.82</v>
      </c>
      <c r="G13" s="14">
        <v>172239.97</v>
      </c>
    </row>
    <row r="14" spans="1:7" ht="15">
      <c r="A14" s="11" t="s">
        <v>81</v>
      </c>
      <c r="B14" s="11" t="s">
        <v>146</v>
      </c>
      <c r="C14" s="11">
        <v>1271</v>
      </c>
      <c r="D14" s="14">
        <v>114622.99</v>
      </c>
      <c r="E14" s="15">
        <v>6.5000000000000002E-2</v>
      </c>
      <c r="F14" s="14">
        <v>26705.8</v>
      </c>
      <c r="G14" s="14">
        <v>1107378.23</v>
      </c>
    </row>
    <row r="15" spans="1:7" ht="15">
      <c r="A15" s="11" t="s">
        <v>23</v>
      </c>
      <c r="B15" s="11" t="s">
        <v>147</v>
      </c>
      <c r="C15" s="11">
        <v>12958</v>
      </c>
      <c r="D15" s="14">
        <v>143440</v>
      </c>
      <c r="E15" s="15">
        <v>6.8000000000000005E-2</v>
      </c>
      <c r="F15" s="14">
        <v>72560.350000000006</v>
      </c>
      <c r="G15" s="14">
        <v>2550363.42</v>
      </c>
    </row>
    <row r="16" spans="1:7" ht="15">
      <c r="A16" s="11" t="s">
        <v>92</v>
      </c>
      <c r="B16" s="11" t="s">
        <v>148</v>
      </c>
      <c r="C16" s="11">
        <v>12995</v>
      </c>
      <c r="D16" s="14">
        <v>37750</v>
      </c>
      <c r="E16" s="15">
        <v>0</v>
      </c>
      <c r="F16" s="14">
        <v>43780.18</v>
      </c>
      <c r="G16" s="14">
        <v>549752.73</v>
      </c>
    </row>
    <row r="17" spans="1:7" ht="15">
      <c r="A17" s="11" t="s">
        <v>91</v>
      </c>
      <c r="B17" s="11" t="s">
        <v>149</v>
      </c>
      <c r="C17" s="11">
        <v>13022</v>
      </c>
      <c r="D17" s="14">
        <v>48177.75</v>
      </c>
      <c r="E17" s="15">
        <v>0</v>
      </c>
      <c r="F17" s="14">
        <v>43701.120000000003</v>
      </c>
      <c r="G17" s="14">
        <v>487650.04</v>
      </c>
    </row>
    <row r="18" spans="1:7" ht="15">
      <c r="A18" s="11" t="s">
        <v>84</v>
      </c>
      <c r="B18" s="11" t="s">
        <v>150</v>
      </c>
      <c r="C18" s="11">
        <v>13026</v>
      </c>
      <c r="D18" s="14">
        <v>11380</v>
      </c>
      <c r="E18" s="15">
        <v>6.0000000000000001E-3</v>
      </c>
      <c r="F18" s="14">
        <v>30918.2</v>
      </c>
      <c r="G18" s="14">
        <v>477961</v>
      </c>
    </row>
    <row r="19" spans="1:7" ht="15">
      <c r="A19" s="11" t="s">
        <v>44</v>
      </c>
      <c r="B19" s="11" t="s">
        <v>151</v>
      </c>
      <c r="C19" s="11">
        <v>13175</v>
      </c>
      <c r="D19" s="14">
        <v>102310</v>
      </c>
      <c r="E19" s="15">
        <v>3.5999999999999997E-2</v>
      </c>
      <c r="F19" s="14">
        <v>34360.949999999997</v>
      </c>
      <c r="G19" s="14">
        <v>1178978.5900000001</v>
      </c>
    </row>
    <row r="20" spans="1:7" ht="15">
      <c r="A20" s="11" t="s">
        <v>47</v>
      </c>
      <c r="B20" s="11" t="s">
        <v>152</v>
      </c>
      <c r="C20" s="11">
        <v>13292</v>
      </c>
      <c r="D20" s="14">
        <v>15361.38</v>
      </c>
      <c r="E20" s="15">
        <v>0</v>
      </c>
      <c r="F20" s="14">
        <v>227529.53</v>
      </c>
      <c r="G20" s="14">
        <v>2534582.71</v>
      </c>
    </row>
    <row r="21" spans="1:7" ht="15">
      <c r="A21" s="11" t="s">
        <v>111</v>
      </c>
      <c r="B21" s="11" t="s">
        <v>153</v>
      </c>
      <c r="C21" s="11">
        <v>1336</v>
      </c>
      <c r="D21" s="14">
        <v>121796.51</v>
      </c>
      <c r="E21" s="15">
        <v>0</v>
      </c>
      <c r="F21" s="14">
        <v>124501.04</v>
      </c>
      <c r="G21" s="14">
        <v>1965588.58</v>
      </c>
    </row>
    <row r="22" spans="1:7" ht="15">
      <c r="A22" s="11" t="s">
        <v>103</v>
      </c>
      <c r="B22" s="11" t="s">
        <v>154</v>
      </c>
      <c r="C22" s="11">
        <v>1355</v>
      </c>
      <c r="D22" s="14">
        <v>86697.26</v>
      </c>
      <c r="E22" s="15">
        <v>7.0999999999999994E-2</v>
      </c>
      <c r="F22" s="14">
        <v>71099.81</v>
      </c>
      <c r="G22" s="14">
        <v>2331402.2400000002</v>
      </c>
    </row>
    <row r="23" spans="1:7" ht="15">
      <c r="A23" s="11" t="s">
        <v>83</v>
      </c>
      <c r="B23" s="11" t="s">
        <v>155</v>
      </c>
      <c r="C23" s="11">
        <v>13940</v>
      </c>
      <c r="D23" s="14">
        <v>20164.82</v>
      </c>
      <c r="E23" s="15">
        <v>0</v>
      </c>
      <c r="F23" s="14">
        <v>27936.07</v>
      </c>
      <c r="G23" s="14">
        <v>388932.11</v>
      </c>
    </row>
    <row r="24" spans="1:7" ht="15">
      <c r="A24" s="11" t="s">
        <v>72</v>
      </c>
      <c r="B24" s="11" t="s">
        <v>156</v>
      </c>
      <c r="C24" s="11">
        <v>13994</v>
      </c>
      <c r="D24" s="14">
        <v>58368.38</v>
      </c>
      <c r="E24" s="15">
        <v>0.51900000000000002</v>
      </c>
      <c r="F24" s="14">
        <v>16864.509999999998</v>
      </c>
      <c r="G24" s="14">
        <v>1307657.97</v>
      </c>
    </row>
    <row r="25" spans="1:7" ht="15">
      <c r="A25" s="11" t="s">
        <v>125</v>
      </c>
      <c r="B25" s="11" t="s">
        <v>157</v>
      </c>
      <c r="C25" s="11">
        <v>14248</v>
      </c>
      <c r="D25" s="11">
        <v>600</v>
      </c>
      <c r="E25" s="15">
        <v>0</v>
      </c>
      <c r="F25" s="14">
        <v>15477.76</v>
      </c>
      <c r="G25" s="14">
        <v>278850.58</v>
      </c>
    </row>
    <row r="26" spans="1:7" ht="15">
      <c r="A26" s="11" t="s">
        <v>71</v>
      </c>
      <c r="B26" s="11" t="s">
        <v>158</v>
      </c>
      <c r="C26" s="11">
        <v>14450</v>
      </c>
      <c r="D26" s="14">
        <v>33447.5</v>
      </c>
      <c r="E26" s="15">
        <v>2.8000000000000001E-2</v>
      </c>
      <c r="F26" s="14">
        <v>15817.44</v>
      </c>
      <c r="G26" s="14">
        <v>500191.45</v>
      </c>
    </row>
    <row r="27" spans="1:7" ht="15">
      <c r="A27" s="11" t="s">
        <v>29</v>
      </c>
      <c r="B27" s="11" t="s">
        <v>159</v>
      </c>
      <c r="C27" s="11">
        <v>1463</v>
      </c>
      <c r="D27" s="14">
        <v>27790</v>
      </c>
      <c r="E27" s="15">
        <v>0.05</v>
      </c>
      <c r="F27" s="14">
        <v>15930.9</v>
      </c>
      <c r="G27" s="14">
        <v>824485</v>
      </c>
    </row>
    <row r="28" spans="1:7" ht="15">
      <c r="A28" s="11" t="s">
        <v>53</v>
      </c>
      <c r="B28" s="11" t="s">
        <v>160</v>
      </c>
      <c r="C28" s="11">
        <v>14734</v>
      </c>
      <c r="D28" s="14">
        <v>81356.7</v>
      </c>
      <c r="E28" s="15">
        <v>0.11700000000000001</v>
      </c>
      <c r="F28" s="14">
        <v>20885.95</v>
      </c>
      <c r="G28" s="14">
        <v>938656.3</v>
      </c>
    </row>
    <row r="29" spans="1:7" ht="15">
      <c r="A29" s="11" t="s">
        <v>119</v>
      </c>
      <c r="B29" s="11" t="s">
        <v>161</v>
      </c>
      <c r="C29" s="11">
        <v>14998</v>
      </c>
      <c r="D29" s="14">
        <v>109085.12</v>
      </c>
      <c r="E29" s="15">
        <v>8.9999999999999993E-3</v>
      </c>
      <c r="F29" s="14">
        <v>224743.3</v>
      </c>
      <c r="G29" s="14">
        <v>3296350.03</v>
      </c>
    </row>
    <row r="30" spans="1:7" ht="15">
      <c r="A30" s="11" t="s">
        <v>98</v>
      </c>
      <c r="B30" s="11" t="s">
        <v>162</v>
      </c>
      <c r="C30" s="11">
        <v>15266</v>
      </c>
      <c r="D30" s="14">
        <v>36750</v>
      </c>
      <c r="E30" s="15">
        <v>0</v>
      </c>
      <c r="F30" s="14">
        <v>52348.01</v>
      </c>
      <c r="G30" s="14">
        <v>836142.1</v>
      </c>
    </row>
    <row r="31" spans="1:7" ht="15">
      <c r="A31" s="11" t="s">
        <v>50</v>
      </c>
      <c r="B31" s="11" t="s">
        <v>163</v>
      </c>
      <c r="C31" s="11">
        <v>15407</v>
      </c>
      <c r="D31" s="14">
        <v>177484.97</v>
      </c>
      <c r="E31" s="15">
        <v>5.8000000000000003E-2</v>
      </c>
      <c r="F31" s="14">
        <v>43920.75</v>
      </c>
      <c r="G31" s="14">
        <v>1025784.72</v>
      </c>
    </row>
    <row r="32" spans="1:7" ht="15">
      <c r="A32" s="11" t="s">
        <v>78</v>
      </c>
      <c r="B32" s="11" t="s">
        <v>164</v>
      </c>
      <c r="C32" s="11">
        <v>15511</v>
      </c>
      <c r="D32" s="14">
        <v>10285.120000000001</v>
      </c>
      <c r="E32" s="15">
        <v>0</v>
      </c>
      <c r="F32" s="14">
        <v>22756.09</v>
      </c>
      <c r="G32" s="14">
        <v>311150.12</v>
      </c>
    </row>
    <row r="33" spans="1:7" ht="15">
      <c r="A33" s="11" t="s">
        <v>104</v>
      </c>
      <c r="B33" s="11" t="s">
        <v>165</v>
      </c>
      <c r="C33" s="11">
        <v>15549</v>
      </c>
      <c r="D33" s="14">
        <v>43380</v>
      </c>
      <c r="E33" s="15">
        <v>0</v>
      </c>
      <c r="F33" s="14">
        <v>76270.240000000005</v>
      </c>
      <c r="G33" s="14">
        <v>1049722.43</v>
      </c>
    </row>
    <row r="34" spans="1:7" ht="15">
      <c r="A34" s="11" t="s">
        <v>14</v>
      </c>
      <c r="B34" s="11" t="s">
        <v>166</v>
      </c>
      <c r="C34" s="11">
        <v>15578</v>
      </c>
      <c r="D34" s="14">
        <v>127652.01</v>
      </c>
      <c r="E34" s="15">
        <v>5.8999999999999997E-2</v>
      </c>
      <c r="F34" s="14">
        <v>36955.589999999997</v>
      </c>
      <c r="G34" s="14">
        <v>1033751.06</v>
      </c>
    </row>
    <row r="35" spans="1:7" ht="15">
      <c r="A35" s="11" t="s">
        <v>94</v>
      </c>
      <c r="B35" s="11" t="s">
        <v>167</v>
      </c>
      <c r="C35" s="11">
        <v>15869</v>
      </c>
      <c r="D35" s="14">
        <v>192502.12</v>
      </c>
      <c r="E35" s="15">
        <v>6.8000000000000005E-2</v>
      </c>
      <c r="F35" s="14">
        <v>45570.13</v>
      </c>
      <c r="G35" s="14">
        <v>1907856.45</v>
      </c>
    </row>
    <row r="36" spans="1:7" ht="15">
      <c r="A36" s="11" t="s">
        <v>108</v>
      </c>
      <c r="B36" s="11" t="s">
        <v>168</v>
      </c>
      <c r="C36" s="11">
        <v>16051</v>
      </c>
      <c r="D36" s="14">
        <v>185154.39</v>
      </c>
      <c r="E36" s="15">
        <v>1.6E-2</v>
      </c>
      <c r="F36" s="14">
        <v>90806.9</v>
      </c>
      <c r="G36" s="14">
        <v>1345281</v>
      </c>
    </row>
    <row r="37" spans="1:7" ht="15">
      <c r="A37" s="11" t="s">
        <v>26</v>
      </c>
      <c r="B37" s="11" t="s">
        <v>169</v>
      </c>
      <c r="C37" s="11">
        <v>16199</v>
      </c>
      <c r="D37" s="14">
        <v>39168.14</v>
      </c>
      <c r="E37" s="15">
        <v>0</v>
      </c>
      <c r="F37" s="14">
        <v>86405.24</v>
      </c>
      <c r="G37" s="14">
        <v>1182678.02</v>
      </c>
    </row>
    <row r="38" spans="1:7" ht="15">
      <c r="A38" s="11" t="s">
        <v>97</v>
      </c>
      <c r="B38" s="11" t="s">
        <v>170</v>
      </c>
      <c r="C38" s="11">
        <v>16447</v>
      </c>
      <c r="D38" s="14">
        <v>19921</v>
      </c>
      <c r="E38" s="15">
        <v>0</v>
      </c>
      <c r="F38" s="14">
        <v>49177.57</v>
      </c>
      <c r="G38" s="14">
        <v>769213.86</v>
      </c>
    </row>
    <row r="39" spans="1:7" ht="15">
      <c r="A39" s="11" t="s">
        <v>107</v>
      </c>
      <c r="B39" s="11" t="s">
        <v>171</v>
      </c>
      <c r="C39" s="11">
        <v>16448</v>
      </c>
      <c r="D39" s="14">
        <v>271383.84999999998</v>
      </c>
      <c r="E39" s="15">
        <v>2.3E-2</v>
      </c>
      <c r="F39" s="14">
        <v>89633.02</v>
      </c>
      <c r="G39" s="14">
        <v>2637064.9300000002</v>
      </c>
    </row>
    <row r="40" spans="1:7" ht="15">
      <c r="A40" s="11" t="s">
        <v>88</v>
      </c>
      <c r="B40" s="11" t="s">
        <v>172</v>
      </c>
      <c r="C40" s="11">
        <v>16609</v>
      </c>
      <c r="D40" s="14">
        <v>134337.32</v>
      </c>
      <c r="E40" s="15">
        <v>2.5999999999999999E-2</v>
      </c>
      <c r="F40" s="14">
        <v>36872.18</v>
      </c>
      <c r="G40" s="14">
        <v>1103509.6100000001</v>
      </c>
    </row>
    <row r="41" spans="1:7" ht="15">
      <c r="A41" s="11" t="s">
        <v>66</v>
      </c>
      <c r="B41" s="11" t="s">
        <v>173</v>
      </c>
      <c r="C41" s="11">
        <v>16653</v>
      </c>
      <c r="D41" s="14">
        <v>28950</v>
      </c>
      <c r="E41" s="15">
        <v>0.09</v>
      </c>
      <c r="F41" s="14">
        <v>11539.11</v>
      </c>
      <c r="G41" s="14">
        <v>677137.01</v>
      </c>
    </row>
    <row r="42" spans="1:7" ht="15">
      <c r="A42" s="11" t="s">
        <v>85</v>
      </c>
      <c r="B42" s="11" t="s">
        <v>174</v>
      </c>
      <c r="C42" s="11">
        <v>16908</v>
      </c>
      <c r="D42" s="14">
        <v>112267.6</v>
      </c>
      <c r="E42" s="15">
        <v>6.0999999999999999E-2</v>
      </c>
      <c r="F42" s="14">
        <v>31553.759999999998</v>
      </c>
      <c r="G42" s="14">
        <v>1502028.01</v>
      </c>
    </row>
    <row r="43" spans="1:7" ht="15">
      <c r="A43" s="11" t="s">
        <v>75</v>
      </c>
      <c r="B43" s="11" t="s">
        <v>175</v>
      </c>
      <c r="C43" s="11">
        <v>17092</v>
      </c>
      <c r="D43" s="14">
        <v>45733.67</v>
      </c>
      <c r="E43" s="15">
        <v>4.1000000000000002E-2</v>
      </c>
      <c r="F43" s="14">
        <v>19524.45</v>
      </c>
      <c r="G43" s="14">
        <v>616885.17000000004</v>
      </c>
    </row>
    <row r="44" spans="1:7" ht="15">
      <c r="A44" s="11" t="s">
        <v>121</v>
      </c>
      <c r="B44" s="11" t="s">
        <v>176</v>
      </c>
      <c r="C44" s="11">
        <v>17175</v>
      </c>
      <c r="D44" s="14">
        <v>19073.759999999998</v>
      </c>
      <c r="E44" s="15">
        <v>0.153</v>
      </c>
      <c r="F44" s="14">
        <v>2459.1999999999998</v>
      </c>
      <c r="G44" s="14">
        <v>151985.63</v>
      </c>
    </row>
    <row r="45" spans="1:7" ht="15">
      <c r="A45" s="11" t="s">
        <v>69</v>
      </c>
      <c r="B45" s="11" t="s">
        <v>177</v>
      </c>
      <c r="C45" s="11">
        <v>17280</v>
      </c>
      <c r="D45" s="14">
        <v>22060</v>
      </c>
      <c r="E45" s="15">
        <v>1.7000000000000001E-2</v>
      </c>
      <c r="F45" s="14">
        <v>14660.12</v>
      </c>
      <c r="G45" s="14">
        <v>275979.90000000002</v>
      </c>
    </row>
    <row r="46" spans="1:7" ht="15">
      <c r="A46" s="11" t="s">
        <v>70</v>
      </c>
      <c r="B46" s="11" t="s">
        <v>178</v>
      </c>
      <c r="C46" s="11">
        <v>17420</v>
      </c>
      <c r="D46" s="14">
        <v>60021.22</v>
      </c>
      <c r="E46" s="15">
        <v>0.17299999999999999</v>
      </c>
      <c r="F46" s="14">
        <v>14882.42</v>
      </c>
      <c r="G46" s="14">
        <v>684781.13</v>
      </c>
    </row>
    <row r="47" spans="1:7" ht="15">
      <c r="A47" s="11" t="s">
        <v>41</v>
      </c>
      <c r="B47" s="11" t="s">
        <v>179</v>
      </c>
      <c r="C47" s="11">
        <v>17569</v>
      </c>
      <c r="D47" s="14">
        <v>74673.570000000007</v>
      </c>
      <c r="E47" s="15">
        <v>0.13</v>
      </c>
      <c r="F47" s="14">
        <v>16023.53</v>
      </c>
      <c r="G47" s="14">
        <v>584766.67000000004</v>
      </c>
    </row>
    <row r="48" spans="1:7" ht="15">
      <c r="A48" s="11" t="s">
        <v>124</v>
      </c>
      <c r="B48" s="11" t="s">
        <v>180</v>
      </c>
      <c r="C48" s="11">
        <v>17764</v>
      </c>
      <c r="D48" s="11">
        <v>191.63</v>
      </c>
      <c r="E48" s="15">
        <v>1</v>
      </c>
      <c r="F48" s="14">
        <v>1005.47</v>
      </c>
      <c r="G48" s="14">
        <v>37448.080000000002</v>
      </c>
    </row>
    <row r="49" spans="1:7" ht="15">
      <c r="A49" s="11" t="s">
        <v>86</v>
      </c>
      <c r="B49" s="12" t="s">
        <v>181</v>
      </c>
      <c r="C49" s="11">
        <v>17798</v>
      </c>
      <c r="D49" s="14">
        <v>4232</v>
      </c>
      <c r="E49" s="15">
        <v>0</v>
      </c>
      <c r="F49" s="14">
        <v>31957.59</v>
      </c>
      <c r="G49" s="14">
        <v>525785.23</v>
      </c>
    </row>
    <row r="50" spans="1:7" ht="15">
      <c r="A50" s="11" t="s">
        <v>77</v>
      </c>
      <c r="B50" s="11" t="s">
        <v>182</v>
      </c>
      <c r="C50" s="11">
        <v>17832</v>
      </c>
      <c r="D50" s="14">
        <v>51283.88</v>
      </c>
      <c r="E50" s="15">
        <v>0.14299999999999999</v>
      </c>
      <c r="F50" s="14">
        <v>21534.23</v>
      </c>
      <c r="G50" s="14">
        <v>1144407.33</v>
      </c>
    </row>
    <row r="51" spans="1:7" ht="15">
      <c r="A51" s="11" t="s">
        <v>35</v>
      </c>
      <c r="B51" s="11" t="s">
        <v>183</v>
      </c>
      <c r="C51" s="11">
        <v>17999</v>
      </c>
      <c r="D51" s="14">
        <v>74900</v>
      </c>
      <c r="E51" s="15">
        <v>0</v>
      </c>
      <c r="F51" s="14">
        <v>48793.13</v>
      </c>
      <c r="G51" s="14">
        <v>487638.45</v>
      </c>
    </row>
    <row r="52" spans="1:7" ht="15">
      <c r="A52" s="11" t="s">
        <v>101</v>
      </c>
      <c r="B52" s="11" t="s">
        <v>184</v>
      </c>
      <c r="C52" s="11">
        <v>18111</v>
      </c>
      <c r="D52" s="14">
        <v>41070</v>
      </c>
      <c r="E52" s="15">
        <v>0</v>
      </c>
      <c r="F52" s="14">
        <v>64093.29</v>
      </c>
      <c r="G52" s="14">
        <v>862095.69</v>
      </c>
    </row>
    <row r="53" spans="1:7" ht="15">
      <c r="A53" s="11" t="s">
        <v>80</v>
      </c>
      <c r="B53" s="11" t="s">
        <v>185</v>
      </c>
      <c r="C53" s="11">
        <v>18269</v>
      </c>
      <c r="D53" s="14">
        <v>64093.4</v>
      </c>
      <c r="E53" s="15">
        <v>4.5999999999999999E-2</v>
      </c>
      <c r="F53" s="14">
        <v>24027.18</v>
      </c>
      <c r="G53" s="14">
        <v>783934.03</v>
      </c>
    </row>
    <row r="54" spans="1:7" ht="15">
      <c r="A54" s="11" t="s">
        <v>11</v>
      </c>
      <c r="B54" s="11" t="s">
        <v>186</v>
      </c>
      <c r="C54" s="11">
        <v>18604</v>
      </c>
      <c r="D54" s="14">
        <v>135153.79999999999</v>
      </c>
      <c r="E54" s="15">
        <v>0.14699999999999999</v>
      </c>
      <c r="F54" s="14">
        <v>40174.589999999997</v>
      </c>
      <c r="G54" s="14">
        <v>1896392.28</v>
      </c>
    </row>
    <row r="55" spans="1:7" ht="15">
      <c r="A55" s="11" t="s">
        <v>38</v>
      </c>
      <c r="B55" s="11" t="s">
        <v>187</v>
      </c>
      <c r="C55" s="11">
        <v>18605</v>
      </c>
      <c r="D55" s="14">
        <v>30105</v>
      </c>
      <c r="E55" s="15">
        <v>0.186</v>
      </c>
      <c r="F55" s="14">
        <v>21963.98</v>
      </c>
      <c r="G55" s="14">
        <v>1308583.03</v>
      </c>
    </row>
    <row r="56" spans="1:7" ht="15">
      <c r="A56" s="11" t="s">
        <v>102</v>
      </c>
      <c r="B56" s="11" t="s">
        <v>188</v>
      </c>
      <c r="C56" s="11">
        <v>18629</v>
      </c>
      <c r="D56" s="14">
        <v>103101.92</v>
      </c>
      <c r="E56" s="15">
        <v>6.5000000000000002E-2</v>
      </c>
      <c r="F56" s="14">
        <v>68466.41</v>
      </c>
      <c r="G56" s="14">
        <v>2623894.0499999998</v>
      </c>
    </row>
    <row r="57" spans="1:7" ht="15">
      <c r="A57" s="11" t="s">
        <v>68</v>
      </c>
      <c r="B57" s="11" t="s">
        <v>189</v>
      </c>
      <c r="C57" s="11">
        <v>18720</v>
      </c>
      <c r="D57" s="14">
        <v>24888.55</v>
      </c>
      <c r="E57" s="15">
        <v>3.3000000000000002E-2</v>
      </c>
      <c r="F57" s="14">
        <v>12389.19</v>
      </c>
      <c r="G57" s="14">
        <v>324516.53999999998</v>
      </c>
    </row>
    <row r="58" spans="1:7" ht="15">
      <c r="A58" s="11" t="s">
        <v>93</v>
      </c>
      <c r="B58" s="12" t="s">
        <v>190</v>
      </c>
      <c r="C58" s="11">
        <v>18722</v>
      </c>
      <c r="D58" s="14">
        <v>19480</v>
      </c>
      <c r="E58" s="15">
        <v>0</v>
      </c>
      <c r="F58" s="14">
        <v>45025.65</v>
      </c>
      <c r="G58" s="14">
        <v>585850.02</v>
      </c>
    </row>
    <row r="59" spans="1:7" ht="15">
      <c r="A59" s="11" t="s">
        <v>32</v>
      </c>
      <c r="B59" s="11" t="s">
        <v>191</v>
      </c>
      <c r="C59" s="11">
        <v>18735</v>
      </c>
      <c r="D59" s="14">
        <v>167530.23999999999</v>
      </c>
      <c r="E59" s="15">
        <v>0.28999999999999998</v>
      </c>
      <c r="F59" s="14">
        <v>48199.05</v>
      </c>
      <c r="G59" s="14">
        <v>2259922.0699999998</v>
      </c>
    </row>
    <row r="60" spans="1:7" ht="15">
      <c r="A60" s="11" t="s">
        <v>95</v>
      </c>
      <c r="B60" s="11" t="s">
        <v>192</v>
      </c>
      <c r="C60" s="11">
        <v>18776</v>
      </c>
      <c r="D60" s="14">
        <v>119053.9</v>
      </c>
      <c r="E60" s="15">
        <v>0.11600000000000001</v>
      </c>
      <c r="F60" s="14">
        <v>45630.879999999997</v>
      </c>
      <c r="G60" s="14">
        <v>2352863.29</v>
      </c>
    </row>
    <row r="61" spans="1:7" ht="15">
      <c r="A61" s="11" t="s">
        <v>123</v>
      </c>
      <c r="B61" s="11" t="s">
        <v>193</v>
      </c>
      <c r="C61" s="11">
        <v>19229</v>
      </c>
      <c r="D61" s="14">
        <v>18930</v>
      </c>
      <c r="E61" s="15">
        <v>0.1</v>
      </c>
      <c r="F61" s="14">
        <v>4728.83</v>
      </c>
      <c r="G61" s="14">
        <v>56735</v>
      </c>
    </row>
    <row r="62" spans="1:7" ht="15">
      <c r="A62" s="11" t="s">
        <v>63</v>
      </c>
      <c r="B62" s="11" t="s">
        <v>194</v>
      </c>
      <c r="C62" s="11">
        <v>19387</v>
      </c>
      <c r="D62" s="14">
        <v>20302.64</v>
      </c>
      <c r="E62" s="15">
        <v>4.8000000000000001E-2</v>
      </c>
      <c r="F62" s="14">
        <v>5075.66</v>
      </c>
      <c r="G62" s="14">
        <v>20302.64</v>
      </c>
    </row>
    <row r="63" spans="1:7" ht="15">
      <c r="A63" s="11" t="s">
        <v>118</v>
      </c>
      <c r="B63" s="11" t="s">
        <v>195</v>
      </c>
      <c r="C63" s="11">
        <v>2489</v>
      </c>
      <c r="D63" s="14">
        <v>226564.84</v>
      </c>
      <c r="E63" s="15">
        <v>8.9999999999999993E-3</v>
      </c>
      <c r="F63" s="14">
        <v>197102.88</v>
      </c>
      <c r="G63" s="14">
        <v>2294658.2200000002</v>
      </c>
    </row>
    <row r="64" spans="1:7" ht="15">
      <c r="A64" s="11" t="s">
        <v>74</v>
      </c>
      <c r="B64" s="11" t="s">
        <v>196</v>
      </c>
      <c r="C64" s="11">
        <v>2779</v>
      </c>
      <c r="D64" s="14">
        <v>41810</v>
      </c>
      <c r="E64" s="15">
        <v>9.5000000000000001E-2</v>
      </c>
      <c r="F64" s="14">
        <v>19325.36</v>
      </c>
      <c r="G64" s="14">
        <v>1116840</v>
      </c>
    </row>
    <row r="65" spans="1:7" ht="15">
      <c r="A65" s="11" t="s">
        <v>8</v>
      </c>
      <c r="B65" s="11" t="s">
        <v>197</v>
      </c>
      <c r="C65" s="11">
        <v>2903</v>
      </c>
      <c r="D65" s="14">
        <v>98109.78</v>
      </c>
      <c r="E65" s="15">
        <v>3.4000000000000002E-2</v>
      </c>
      <c r="F65" s="14">
        <v>55004.53</v>
      </c>
      <c r="G65" s="14">
        <v>1896360.31</v>
      </c>
    </row>
    <row r="66" spans="1:7" ht="15">
      <c r="A66" s="11" t="s">
        <v>113</v>
      </c>
      <c r="B66" s="11" t="s">
        <v>198</v>
      </c>
      <c r="C66" s="11">
        <v>3003</v>
      </c>
      <c r="D66" s="14">
        <v>130850.25</v>
      </c>
      <c r="E66" s="15">
        <v>1.4E-2</v>
      </c>
      <c r="F66" s="14">
        <v>137145.31</v>
      </c>
      <c r="G66" s="14">
        <v>1798419.97</v>
      </c>
    </row>
    <row r="67" spans="1:7" ht="15">
      <c r="A67" s="11" t="s">
        <v>20</v>
      </c>
      <c r="B67" s="11" t="s">
        <v>199</v>
      </c>
      <c r="C67" s="11">
        <v>3131</v>
      </c>
      <c r="D67" s="14">
        <v>218996</v>
      </c>
      <c r="E67" s="15">
        <v>1.9E-2</v>
      </c>
      <c r="F67" s="14">
        <v>152331.39000000001</v>
      </c>
      <c r="G67" s="14">
        <v>2769750.66</v>
      </c>
    </row>
    <row r="68" spans="1:7" ht="15">
      <c r="A68" s="11" t="s">
        <v>89</v>
      </c>
      <c r="B68" s="11" t="s">
        <v>200</v>
      </c>
      <c r="C68" s="11">
        <v>3578</v>
      </c>
      <c r="D68" s="14">
        <v>89478.8</v>
      </c>
      <c r="E68" s="15">
        <v>2.3E-2</v>
      </c>
      <c r="F68" s="14">
        <v>40439.58</v>
      </c>
      <c r="G68" s="14">
        <v>1021997.77</v>
      </c>
    </row>
    <row r="69" spans="1:7" ht="15">
      <c r="A69" s="11" t="s">
        <v>114</v>
      </c>
      <c r="B69" s="11" t="s">
        <v>201</v>
      </c>
      <c r="C69" s="11">
        <v>5901</v>
      </c>
      <c r="D69" s="14">
        <v>77948</v>
      </c>
      <c r="E69" s="15">
        <v>0</v>
      </c>
      <c r="F69" s="14">
        <v>139372.25</v>
      </c>
      <c r="G69" s="14">
        <v>2111039.31</v>
      </c>
    </row>
    <row r="70" spans="1:7" ht="15">
      <c r="A70" s="11" t="s">
        <v>109</v>
      </c>
      <c r="B70" s="11" t="s">
        <v>202</v>
      </c>
      <c r="C70" s="11">
        <v>5934</v>
      </c>
      <c r="D70" s="14">
        <v>68343.33</v>
      </c>
      <c r="E70" s="15">
        <v>0.01</v>
      </c>
      <c r="F70" s="14">
        <v>100029.85</v>
      </c>
      <c r="G70" s="14">
        <v>1394247.33</v>
      </c>
    </row>
    <row r="71" spans="1:7" ht="15">
      <c r="A71" s="11" t="s">
        <v>17</v>
      </c>
      <c r="B71" s="11" t="s">
        <v>203</v>
      </c>
      <c r="C71" s="11">
        <v>6454</v>
      </c>
      <c r="D71" s="14">
        <v>220282.74</v>
      </c>
      <c r="E71" s="15">
        <v>0.13400000000000001</v>
      </c>
      <c r="F71" s="14">
        <v>57752.28</v>
      </c>
      <c r="G71" s="14">
        <v>2434456.2000000002</v>
      </c>
    </row>
    <row r="72" spans="1:7" ht="15">
      <c r="A72" s="11" t="s">
        <v>73</v>
      </c>
      <c r="B72" s="11" t="s">
        <v>204</v>
      </c>
      <c r="C72" s="11">
        <v>7132</v>
      </c>
      <c r="D72" s="14">
        <v>115596.5</v>
      </c>
      <c r="E72" s="15">
        <v>0.17799999999999999</v>
      </c>
      <c r="F72" s="14">
        <v>19163.38</v>
      </c>
      <c r="G72" s="14">
        <v>686182.28</v>
      </c>
    </row>
    <row r="73" spans="1:7" ht="15">
      <c r="A73" s="11" t="s">
        <v>105</v>
      </c>
      <c r="B73" s="11" t="s">
        <v>205</v>
      </c>
      <c r="C73" s="11">
        <v>7574</v>
      </c>
      <c r="D73" s="14">
        <v>226651</v>
      </c>
      <c r="E73" s="15">
        <v>4.2999999999999997E-2</v>
      </c>
      <c r="F73" s="14">
        <v>81757.81</v>
      </c>
      <c r="G73" s="14">
        <v>2602359.2000000002</v>
      </c>
    </row>
    <row r="74" spans="1:7" ht="15">
      <c r="A74" s="11" t="s">
        <v>112</v>
      </c>
      <c r="B74" s="11" t="s">
        <v>206</v>
      </c>
      <c r="C74" s="11">
        <v>7881</v>
      </c>
      <c r="D74" s="14">
        <v>527490.19999999995</v>
      </c>
      <c r="E74" s="15">
        <v>9.0999999999999998E-2</v>
      </c>
      <c r="F74" s="14">
        <v>130515.02</v>
      </c>
      <c r="G74" s="14">
        <v>5447274.8399999999</v>
      </c>
    </row>
    <row r="75" spans="1:7" ht="15">
      <c r="A75" s="11" t="s">
        <v>90</v>
      </c>
      <c r="B75" s="11" t="s">
        <v>207</v>
      </c>
      <c r="C75" s="11">
        <v>7908</v>
      </c>
      <c r="D75" s="14">
        <v>202884.58</v>
      </c>
      <c r="E75" s="15">
        <v>8.8999999999999996E-2</v>
      </c>
      <c r="F75" s="14">
        <v>40574.26</v>
      </c>
      <c r="G75" s="14">
        <v>1634672.36</v>
      </c>
    </row>
    <row r="76" spans="1:7" ht="15">
      <c r="A76" s="11" t="s">
        <v>126</v>
      </c>
      <c r="B76" s="11" t="s">
        <v>208</v>
      </c>
      <c r="C76" s="11">
        <v>7949</v>
      </c>
      <c r="D76" s="14">
        <v>10140</v>
      </c>
      <c r="E76" s="15">
        <v>0</v>
      </c>
      <c r="F76" s="14">
        <v>15893.19</v>
      </c>
      <c r="G76" s="14">
        <v>224322</v>
      </c>
    </row>
    <row r="77" spans="1:7" ht="15">
      <c r="A77" s="11" t="s">
        <v>87</v>
      </c>
      <c r="B77" s="11" t="s">
        <v>209</v>
      </c>
      <c r="C77" s="11">
        <v>846</v>
      </c>
      <c r="D77" s="14">
        <v>17600</v>
      </c>
      <c r="E77" s="15">
        <v>0</v>
      </c>
      <c r="F77" s="14">
        <v>32169.08</v>
      </c>
      <c r="G77" s="14">
        <v>428364.32</v>
      </c>
    </row>
    <row r="78" spans="1:7" ht="15">
      <c r="A78" s="11" t="s">
        <v>116</v>
      </c>
      <c r="B78" s="11" t="s">
        <v>210</v>
      </c>
      <c r="C78" s="11">
        <v>8529</v>
      </c>
      <c r="D78" s="14">
        <v>231287.5</v>
      </c>
      <c r="E78" s="15">
        <v>0</v>
      </c>
      <c r="F78" s="14">
        <v>174114.98</v>
      </c>
      <c r="G78" s="14">
        <v>1752169.23</v>
      </c>
    </row>
    <row r="79" spans="1:7" ht="15">
      <c r="A79" s="11" t="s">
        <v>117</v>
      </c>
      <c r="B79" s="11" t="s">
        <v>211</v>
      </c>
      <c r="C79" s="11">
        <v>8868</v>
      </c>
      <c r="D79" s="14">
        <v>106942.15</v>
      </c>
      <c r="E79" s="15">
        <v>1.0999999999999999E-2</v>
      </c>
      <c r="F79" s="14">
        <v>192609.21</v>
      </c>
      <c r="G79" s="14">
        <v>3367639.42</v>
      </c>
    </row>
    <row r="80" spans="1:7" ht="15">
      <c r="A80" s="11" t="s">
        <v>99</v>
      </c>
      <c r="B80" s="11" t="s">
        <v>212</v>
      </c>
      <c r="C80" s="11">
        <v>918</v>
      </c>
      <c r="D80" s="14">
        <v>157430</v>
      </c>
      <c r="E80" s="15">
        <v>3.3000000000000002E-2</v>
      </c>
      <c r="F80" s="14">
        <v>57706.68</v>
      </c>
      <c r="G80" s="14">
        <v>1602881</v>
      </c>
    </row>
    <row r="81" spans="1:7" ht="15">
      <c r="A81" s="11" t="s">
        <v>64</v>
      </c>
      <c r="B81" s="11" t="s">
        <v>213</v>
      </c>
      <c r="C81" s="11">
        <v>9727</v>
      </c>
      <c r="D81" s="14">
        <v>22056.12</v>
      </c>
      <c r="E81" s="15">
        <v>0.13600000000000001</v>
      </c>
      <c r="F81" s="14">
        <v>5207.9399999999996</v>
      </c>
      <c r="G81" s="14">
        <v>261115.73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CE86A08CD6540A4F85B99A3C6C0BC" ma:contentTypeVersion="3" ma:contentTypeDescription="Create a new document." ma:contentTypeScope="" ma:versionID="852f156cbfe869f1fd08a677a37de8b9">
  <xsd:schema xmlns:xsd="http://www.w3.org/2001/XMLSchema" xmlns:xs="http://www.w3.org/2001/XMLSchema" xmlns:p="http://schemas.microsoft.com/office/2006/metadata/properties" xmlns:ns2="f3702db3-fb5c-475a-ad1e-0ecf8378530b" targetNamespace="http://schemas.microsoft.com/office/2006/metadata/properties" ma:root="true" ma:fieldsID="58a2562962f68446dfacdb92d61224c3" ns2:_="">
    <xsd:import namespace="f3702db3-fb5c-475a-ad1e-0ecf83785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02db3-fb5c-475a-ad1e-0ecf83785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5092804-552E-47FE-A806-A3C609DFFFA3}"/>
</file>

<file path=customXml/itemProps2.xml><?xml version="1.0" encoding="utf-8"?>
<ds:datastoreItem xmlns:ds="http://schemas.openxmlformats.org/officeDocument/2006/customXml" ds:itemID="{C58F915E-8D87-480F-8C42-1FECB6B306C8}"/>
</file>

<file path=customXml/itemProps3.xml><?xml version="1.0" encoding="utf-8"?>
<ds:datastoreItem xmlns:ds="http://schemas.openxmlformats.org/officeDocument/2006/customXml" ds:itemID="{09406DBF-538D-4786-8F72-B377772A6BAA}"/>
</file>

<file path=customXml/itemProps4.xml><?xml version="1.0" encoding="utf-8"?>
<ds:datastoreItem xmlns:ds="http://schemas.openxmlformats.org/officeDocument/2006/customXml" ds:itemID="{89576BC1-A320-413D-A4C0-48BB8AB5B5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Financeiro</dc:creator>
  <cp:keywords/>
  <dc:description/>
  <cp:lastModifiedBy>victor.davila</cp:lastModifiedBy>
  <cp:revision/>
  <dcterms:created xsi:type="dcterms:W3CDTF">2025-12-22T19:01:20Z</dcterms:created>
  <dcterms:modified xsi:type="dcterms:W3CDTF">2026-01-06T20:53:28Z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0x010100DACCE86A08CD6540A4F85B99A3C6C0BC</vt:lpwstr>
  </property>
</Properties>
</file>